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/>
  <workbookPr defaultThemeVersion="124226"/>
  <mc:AlternateContent xmlns:mc="http://schemas.openxmlformats.org/markup-compatibility/2006">
    <mc:Choice Requires="x15">
      <x15ac:absPath xmlns:x15ac="http://schemas.microsoft.com/office/spreadsheetml/2010/11/ac" url="G:\My Drive\Irrigation\DPA Sidi Ifni\FDA\BOUIRDNE Ahmed\Etude\"/>
    </mc:Choice>
  </mc:AlternateContent>
  <xr:revisionPtr revIDLastSave="0" documentId="13_ncr:1_{C39C6D28-BB50-483A-8065-E3B6A6A08396}" xr6:coauthVersionLast="36" xr6:coauthVersionMax="36" xr10:uidLastSave="{00000000-0000-0000-0000-000000000000}"/>
  <bookViews>
    <workbookView xWindow="360" yWindow="1920" windowWidth="11592" windowHeight="7356" tabRatio="822" xr2:uid="{00000000-000D-0000-FFFF-FFFF00000000}"/>
  </bookViews>
  <sheets>
    <sheet name="STATION" sheetId="20" r:id="rId1"/>
    <sheet name="PVC ET GAG" sheetId="29" r:id="rId2"/>
    <sheet name="GEOMEMBRANE" sheetId="23" r:id="rId3"/>
    <sheet name="POMP IMMERGY" sheetId="22" r:id="rId4"/>
    <sheet name="POMP MONOBLOC" sheetId="24" r:id="rId5"/>
    <sheet name="AMENAGEMENT" sheetId="25" r:id="rId6"/>
    <sheet name="TRANCHEES" sheetId="26" r:id="rId7"/>
    <sheet name="ABRI" sheetId="27" r:id="rId8"/>
    <sheet name="FORAG" sheetId="30" r:id="rId9"/>
    <sheet name="TOTAL DEVIS " sheetId="21" r:id="rId10"/>
    <sheet name="Subvention" sheetId="31" state="hidden" r:id="rId11"/>
  </sheets>
  <externalReferences>
    <externalReference r:id="rId12"/>
    <externalReference r:id="rId13"/>
  </externalReferences>
  <definedNames>
    <definedName name="forage_recap" localSheetId="10">'[1]DEVIS '!$C$224</definedName>
    <definedName name="forage_start" localSheetId="10">L196C1</definedName>
    <definedName name="forage_start">L196C1</definedName>
    <definedName name="forage111" localSheetId="10">L196C13</definedName>
    <definedName name="forage111">L196C13</definedName>
    <definedName name="_xlnm.Print_Area" localSheetId="3">'POMP IMMERGY'!$A$1:$E$53</definedName>
    <definedName name="_xlnm.Print_Area" localSheetId="10">Subvention!$A$1:$J$34</definedName>
  </definedNames>
  <calcPr calcId="191029"/>
</workbook>
</file>

<file path=xl/calcChain.xml><?xml version="1.0" encoding="utf-8"?>
<calcChain xmlns="http://schemas.openxmlformats.org/spreadsheetml/2006/main">
  <c r="L23" i="31" l="1"/>
  <c r="D11" i="31"/>
  <c r="C4" i="31"/>
  <c r="B23" i="31"/>
  <c r="B11" i="31"/>
  <c r="B25" i="31"/>
  <c r="H23" i="31"/>
  <c r="C23" i="31"/>
  <c r="F23" i="31"/>
  <c r="J18" i="31"/>
  <c r="H15" i="31"/>
  <c r="C15" i="31"/>
  <c r="H14" i="31"/>
  <c r="C14" i="31"/>
  <c r="C13" i="31"/>
  <c r="H12" i="31"/>
  <c r="C12" i="31"/>
  <c r="H11" i="31"/>
  <c r="C11" i="31"/>
  <c r="F11" i="31"/>
  <c r="M8" i="31"/>
  <c r="M9" i="31" s="1"/>
  <c r="G6" i="31" s="1"/>
  <c r="D12" i="31" s="1"/>
  <c r="D23" i="31"/>
  <c r="D14" i="31"/>
  <c r="G11" i="31" l="1"/>
  <c r="G23" i="31"/>
  <c r="I23" i="31" s="1"/>
  <c r="J23" i="31" s="1"/>
  <c r="D13" i="31"/>
  <c r="H13" i="31"/>
  <c r="D15" i="31"/>
  <c r="H23" i="22"/>
  <c r="H22" i="22"/>
  <c r="F21" i="20"/>
  <c r="E22" i="30"/>
  <c r="E23" i="30"/>
  <c r="E24" i="30"/>
  <c r="E25" i="30"/>
  <c r="B34" i="21"/>
  <c r="F15" i="20"/>
  <c r="E40" i="23"/>
  <c r="E39" i="23"/>
  <c r="E38" i="23"/>
  <c r="E36" i="23"/>
  <c r="F49" i="20"/>
  <c r="F48" i="20"/>
  <c r="F47" i="20"/>
  <c r="F46" i="20"/>
  <c r="F45" i="20"/>
  <c r="F44" i="20"/>
  <c r="F43" i="20"/>
  <c r="F42" i="20"/>
  <c r="F41" i="20"/>
  <c r="F40" i="20"/>
  <c r="F39" i="20"/>
  <c r="E38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0" i="20"/>
  <c r="F19" i="20"/>
  <c r="F18" i="20"/>
  <c r="F17" i="20"/>
  <c r="F16" i="20"/>
  <c r="F14" i="20"/>
  <c r="E16" i="29"/>
  <c r="E19" i="29"/>
  <c r="E22" i="22"/>
  <c r="E30" i="29"/>
  <c r="E38" i="24"/>
  <c r="E41" i="24" s="1"/>
  <c r="E37" i="24"/>
  <c r="E36" i="24"/>
  <c r="E35" i="24"/>
  <c r="E34" i="24"/>
  <c r="E27" i="24"/>
  <c r="E39" i="22"/>
  <c r="E42" i="22" s="1"/>
  <c r="E43" i="22" s="1"/>
  <c r="B30" i="21" s="1"/>
  <c r="E38" i="22"/>
  <c r="E37" i="22"/>
  <c r="D36" i="22"/>
  <c r="E36" i="22"/>
  <c r="D35" i="22"/>
  <c r="E35" i="22"/>
  <c r="E34" i="22"/>
  <c r="D33" i="22"/>
  <c r="E33" i="22"/>
  <c r="D32" i="22"/>
  <c r="E32" i="22"/>
  <c r="D31" i="22"/>
  <c r="E31" i="22"/>
  <c r="E35" i="29"/>
  <c r="E34" i="29"/>
  <c r="E33" i="29"/>
  <c r="E32" i="29"/>
  <c r="E31" i="29"/>
  <c r="E25" i="29"/>
  <c r="E24" i="29"/>
  <c r="E23" i="29"/>
  <c r="E21" i="29"/>
  <c r="E20" i="29"/>
  <c r="E18" i="29"/>
  <c r="E17" i="29"/>
  <c r="E31" i="27"/>
  <c r="E36" i="27"/>
  <c r="E32" i="26"/>
  <c r="E37" i="26" s="1"/>
  <c r="E35" i="25"/>
  <c r="E40" i="25"/>
  <c r="E41" i="25"/>
  <c r="E42" i="25"/>
  <c r="B29" i="21"/>
  <c r="E41" i="23"/>
  <c r="E37" i="27"/>
  <c r="E38" i="27"/>
  <c r="B33" i="21"/>
  <c r="E41" i="22"/>
  <c r="E42" i="23"/>
  <c r="E43" i="23"/>
  <c r="B28" i="21"/>
  <c r="E38" i="26" l="1"/>
  <c r="E39" i="26" s="1"/>
  <c r="B32" i="21" s="1"/>
  <c r="E40" i="24"/>
  <c r="E42" i="24" s="1"/>
  <c r="B31" i="21" s="1"/>
  <c r="B12" i="31" s="1"/>
  <c r="F12" i="31" s="1"/>
  <c r="G12" i="31" s="1"/>
  <c r="E36" i="29"/>
  <c r="E37" i="29" s="1"/>
  <c r="E38" i="29" s="1"/>
  <c r="B27" i="21" s="1"/>
  <c r="B15" i="31" s="1"/>
  <c r="F15" i="31" s="1"/>
  <c r="G15" i="31" s="1"/>
  <c r="E26" i="29"/>
  <c r="E27" i="29" s="1"/>
  <c r="E28" i="29" s="1"/>
  <c r="B26" i="21" s="1"/>
  <c r="F50" i="20"/>
  <c r="F51" i="20" s="1"/>
  <c r="L11" i="31"/>
  <c r="I11" i="31"/>
  <c r="J11" i="31" s="1"/>
  <c r="B14" i="31" l="1"/>
  <c r="F14" i="31" s="1"/>
  <c r="G14" i="31" s="1"/>
  <c r="L14" i="31" s="1"/>
  <c r="L12" i="31"/>
  <c r="I12" i="31"/>
  <c r="J12" i="31" s="1"/>
  <c r="L15" i="31"/>
  <c r="I15" i="31"/>
  <c r="J15" i="31" s="1"/>
  <c r="I14" i="31"/>
  <c r="J14" i="31" s="1"/>
  <c r="E40" i="29"/>
  <c r="F52" i="20"/>
  <c r="B25" i="21" s="1"/>
  <c r="E41" i="29"/>
  <c r="E42" i="29" l="1"/>
  <c r="B13" i="31"/>
  <c r="B35" i="21"/>
  <c r="B16" i="31" l="1"/>
  <c r="F13" i="31"/>
  <c r="F16" i="31" l="1"/>
  <c r="G13" i="31"/>
  <c r="L13" i="31" l="1"/>
  <c r="I13" i="31"/>
  <c r="J13" i="31" s="1"/>
  <c r="J16" i="31" s="1"/>
  <c r="J17" i="31" s="1"/>
  <c r="J19" i="31" s="1"/>
  <c r="J20" i="31" s="1"/>
  <c r="H37" i="31" l="1"/>
  <c r="H38" i="31" s="1"/>
  <c r="B26" i="31"/>
  <c r="D25" i="31" s="1"/>
  <c r="B37" i="31" s="1"/>
  <c r="B38" i="31" s="1"/>
</calcChain>
</file>

<file path=xl/sharedStrings.xml><?xml version="1.0" encoding="utf-8"?>
<sst xmlns="http://schemas.openxmlformats.org/spreadsheetml/2006/main" count="431" uniqueCount="204">
  <si>
    <t>Micro - irrigation</t>
  </si>
  <si>
    <t>Désignation</t>
  </si>
  <si>
    <t>Unité</t>
  </si>
  <si>
    <t>Quantité</t>
  </si>
  <si>
    <t>Prix Unitaire</t>
  </si>
  <si>
    <t>Montant H.T</t>
  </si>
  <si>
    <t>1/ STATION DE FILTRATION ET FERTIGATION</t>
  </si>
  <si>
    <t>DEVIS</t>
  </si>
  <si>
    <t>VANNE PVC DIA 50</t>
  </si>
  <si>
    <t>U</t>
  </si>
  <si>
    <t>ML</t>
  </si>
  <si>
    <t>Ha</t>
  </si>
  <si>
    <t>KG</t>
  </si>
  <si>
    <t>MANOMETRE 6 BARS</t>
  </si>
  <si>
    <t>HA</t>
  </si>
  <si>
    <t>2/CANALISATION PRINCIPALE ET ACCESSOIRES DE RACCORDEMENT</t>
  </si>
  <si>
    <t>3/ MATERIEL D'IRRIGATION A LA PARCELLE</t>
  </si>
  <si>
    <t>TOTAL 1  ( DHS - TTC )</t>
  </si>
  <si>
    <t>TOTAL 2  ( DHS - TTC )</t>
  </si>
  <si>
    <t>TOTAL 3  ( DHS - TTC )</t>
  </si>
  <si>
    <t>TOTAL GENERAL 1+2+3  ( DHS - TTC )</t>
  </si>
  <si>
    <t>* ARTICLE SOUMIS A LA TVA</t>
  </si>
  <si>
    <t>UNITE</t>
  </si>
  <si>
    <t>PU HT</t>
  </si>
  <si>
    <t>Montant HT</t>
  </si>
  <si>
    <t>ACCESSOIRES DE RACCORDEMENT</t>
  </si>
  <si>
    <t>PURGE PVC DIA 50</t>
  </si>
  <si>
    <t>FT</t>
  </si>
  <si>
    <t>PAGE 2/2</t>
  </si>
  <si>
    <t>TOTAL</t>
  </si>
  <si>
    <t>FOURNITURE ET POSE DU GEOMEMBRE EN PEHD D'EPAISSEUR 1 MM *</t>
  </si>
  <si>
    <t xml:space="preserve">TOTAL   ( HT - DHS ) </t>
  </si>
  <si>
    <t xml:space="preserve">TOTAL   ( TTC - DHS ) </t>
  </si>
  <si>
    <t xml:space="preserve">POMPE A AXE HORIZENTALE    </t>
  </si>
  <si>
    <t>Unit,</t>
  </si>
  <si>
    <t>QTE</t>
  </si>
  <si>
    <t>P,U</t>
  </si>
  <si>
    <t>Amenagement d'un bassin de stockage de l'eau d'irrigation</t>
  </si>
  <si>
    <t>PURGE D'AIR DIA 2"</t>
  </si>
  <si>
    <t>VANNE PVC DIA 63</t>
  </si>
  <si>
    <t>TOTAL  ( DHS - HT )</t>
  </si>
  <si>
    <t>TOTAL    ( DHS - TTC )</t>
  </si>
  <si>
    <t>Unit</t>
  </si>
  <si>
    <t>ANNAUX FIN DE LIGNE DIA 16</t>
  </si>
  <si>
    <t>JONCTION PE 13*16</t>
  </si>
  <si>
    <t>Creusement et remblaiment des tranchées 50x60 cm</t>
  </si>
  <si>
    <t>INSTALATION ET MISE EN MARCHE *</t>
  </si>
  <si>
    <t xml:space="preserve">MANCHETTE 3" </t>
  </si>
  <si>
    <t>ELECTRODE DE NIVEAU</t>
  </si>
  <si>
    <t xml:space="preserve">BOITE DE JONCTION COMPLETE </t>
  </si>
  <si>
    <t>CONDUITS PUITS &gt;&gt;&gt;&gt;&gt;&gt;&gt;&gt;&gt;&gt;&gt;&gt;&gt;&gt; BASSIN</t>
  </si>
  <si>
    <t>DEPART A JOINT DIA 13*16</t>
  </si>
  <si>
    <t>TOTAL GENERAL 1+2+3  ( DHS - HT )</t>
  </si>
  <si>
    <t>PAGE 1/2</t>
  </si>
  <si>
    <t xml:space="preserve">**POMPE  IMMERGEE **                                            </t>
  </si>
  <si>
    <t>CABLE SV RV-K 3*4 (+puit&gt;&gt;&gt;bassin)</t>
  </si>
  <si>
    <t>CABLE SV RV-K 3*1 (+puit&gt;&gt;&gt;bassin)</t>
  </si>
  <si>
    <t>MARQUE       : IBRATEC</t>
  </si>
  <si>
    <t xml:space="preserve">TUBE PVC AQOUAPLAST DIA 90 6 BAR  </t>
  </si>
  <si>
    <t xml:space="preserve">Montant ( TTC - DHS ) </t>
  </si>
  <si>
    <t>1/STATION DE FILTRATION ET FERTIGATION</t>
  </si>
  <si>
    <t>2/CANALISATION PRINCIPALE ET ACCESSOIRES</t>
  </si>
  <si>
    <t>3/MATERIEL D'IRRIGATION A LA PARCELLE</t>
  </si>
  <si>
    <t>4/FOURNITURE ET POSE DU GEOMEMBRE EN PEHD D'EPAISSEUR 1 MM</t>
  </si>
  <si>
    <t xml:space="preserve">5/AMENAGEMENT D'UN BASSIN DE STOKAGE  DE L'EAU D'IRRIGATION </t>
  </si>
  <si>
    <t>6/POMPE IMMERGY</t>
  </si>
  <si>
    <t xml:space="preserve">7/POMPE  HORIZENTALE  MONOBLOC  </t>
  </si>
  <si>
    <t>8/CREUSEMENT ET REMBLAIMENT DES TRANCHEES 50x60 cm</t>
  </si>
  <si>
    <t>TOTAL 1  ( DHS - HT )*</t>
  </si>
  <si>
    <t xml:space="preserve">CITERNE CYLINDRIQUE 500 L </t>
  </si>
  <si>
    <t xml:space="preserve">COLLE PVC   </t>
  </si>
  <si>
    <t>TOTAL 2  ( DHS - HT )*</t>
  </si>
  <si>
    <t xml:space="preserve">COLLE PVC  </t>
  </si>
  <si>
    <t xml:space="preserve">INSTALATION ET MISE EN MARCHE  </t>
  </si>
  <si>
    <t>TOTAL 3  ( DHS - HT )*</t>
  </si>
  <si>
    <t xml:space="preserve">INSTALLATION ET MISE EN MARCHE  </t>
  </si>
  <si>
    <t>MONCHON ANTIVIBRATOIRE DIA 80</t>
  </si>
  <si>
    <t>Abri de station de tete en beton 3m x 3m</t>
  </si>
  <si>
    <t>9/ABRI DE STATION DE TETE EN BETON 3m x 3m</t>
  </si>
  <si>
    <t>Hauteur totale                                : 4 m</t>
  </si>
  <si>
    <t>Dimensions en gueule                  : 23 m x 17 m</t>
  </si>
  <si>
    <t>Dimensions au radier                   : 15 m x 9 m</t>
  </si>
  <si>
    <t>Quantité total du revetement    : 760 m²</t>
  </si>
  <si>
    <t xml:space="preserve">Sup. total 03 Ha 00 Ar 00 Ca </t>
  </si>
  <si>
    <t>Mr : AHMED BOUIRDNE</t>
  </si>
  <si>
    <t>DR : TOUFGNIT</t>
  </si>
  <si>
    <t>CR : SIDI HSAIN</t>
  </si>
  <si>
    <t>CERCLE : LAKHSSAS</t>
  </si>
  <si>
    <t>PROVINCE: SIDI IFNI</t>
  </si>
  <si>
    <t xml:space="preserve">GOUTEUR BOUTON PC JUNIOR  15L/H </t>
  </si>
  <si>
    <t>CLAPET CREPINE DIA 90</t>
  </si>
  <si>
    <t>INJECTEUR D'ENGRAIS DIA 2"</t>
  </si>
  <si>
    <t>VANNE PAPILLON DIA 90</t>
  </si>
  <si>
    <t>COUDE DIA 63 A 90</t>
  </si>
  <si>
    <t>COUDE DIA 50 A 90</t>
  </si>
  <si>
    <t>COLLIER DE PRISE EN CHARGE DIA 90*2"</t>
  </si>
  <si>
    <t>COLLIER DE PRISE EN CHARGE DIA 90*1"1/2</t>
  </si>
  <si>
    <t>COLLIER DE PRISE EN CHARGE DIA 90*1/2</t>
  </si>
  <si>
    <t>REDUCTION FILETEE DIA 1/2*1/4</t>
  </si>
  <si>
    <t>REDUCTION FILETEE DIA 1"*1"1/4</t>
  </si>
  <si>
    <t>REDUCTION FILETEE DIA 1"1/4*1"1/2</t>
  </si>
  <si>
    <t>EBMOUT FILETEE PVC DIA 75*63*2"</t>
  </si>
  <si>
    <t>MANCHON MIXTE PVC DIA 63*2"</t>
  </si>
  <si>
    <t>MANCHON MIXTE PVC DIA 90*3"</t>
  </si>
  <si>
    <t>MANCHON MIXTE PVC DIA 50*1"1/2</t>
  </si>
  <si>
    <t>BOULON DIA 16*90</t>
  </si>
  <si>
    <t>TEFLON GRAND TAILLE</t>
  </si>
  <si>
    <t>FILTRE A DISQUE  DIA 3"  AYTOK</t>
  </si>
  <si>
    <t>COMPTEUR D'EAU DN 80  GX PLASTIC</t>
  </si>
  <si>
    <t>GRILLAGE</t>
  </si>
  <si>
    <t>m²</t>
  </si>
  <si>
    <t>CORNNER 50</t>
  </si>
  <si>
    <t>ml</t>
  </si>
  <si>
    <t>INSTALLATION ( grillage + cornner ) *</t>
  </si>
  <si>
    <t>VANNE PVC A COLLER DIA 63</t>
  </si>
  <si>
    <t>Creusement et cuvelage de forages.</t>
  </si>
  <si>
    <t>TOTAL  ( HT - DHS )</t>
  </si>
  <si>
    <t>TVA  ( 20 % - DHS )</t>
  </si>
  <si>
    <t>TOTAL  ( TTC - DHS )</t>
  </si>
  <si>
    <t>10/Creusement et cuvelage de forages.</t>
  </si>
  <si>
    <t>LA SOUPAP SECURITE</t>
  </si>
  <si>
    <t>ARRETER LE PRESENT DEVIS A LA SOMME DE :  quatre-vingt-cinq Mille trois cent cinquante-trois   DHS et 60cts   TTC</t>
  </si>
  <si>
    <t>ARRETER LE PRESENT DEVIS A LA SOMME DE :  quarante-six Mille neuf cent trente  DHS TTC</t>
  </si>
  <si>
    <t>ARRETER LE PRESENT DEVIS A LA SOMME DE : trente-deux Mille soixante-quinze   DHS ET 20CTS HT</t>
  </si>
  <si>
    <t>ARRETER LE PRESENT DEVIS A LA SOMME DE :  dix-neuf Mille deux cent quatorze  DHS TTC</t>
  </si>
  <si>
    <t>ARRETER LE PRESENT DEVIS A LA SOMME DE : seize Mille cinq cent trente et un  DHS et 20cts  TTC</t>
  </si>
  <si>
    <t>ARRETER LE PRESENT DEVIS A LA SOMME DE:  quatre Mille deux cents  DHS TTC</t>
  </si>
  <si>
    <t>ARRETER LE PRESENT DEVIS A LA SOMME DE :   dix Mille huit cents   DHS TTC</t>
  </si>
  <si>
    <t>ARRETER LE PRESENT DEVIS A LA SOMME DE :  quatre-vingt-un Mille six cents    DHS TTC</t>
  </si>
  <si>
    <t>ARRETER LE PRESENT DEVIS A LA SOMME DE : deux cent quatre-vingt-seize Mille sept cent quatre    DHS    TTC</t>
  </si>
  <si>
    <t xml:space="preserve"> TYPE              : 6SP17-12</t>
  </si>
  <si>
    <t>PUISSANCE : 7.5 KW - 10 CV</t>
  </si>
  <si>
    <t xml:space="preserve">COFFRET DE DEMARRAGE 10 HP </t>
  </si>
  <si>
    <t>TUBE EN PEHD Dn 75 16 bar</t>
  </si>
  <si>
    <t>TVA 1 ( 20% - DHS )</t>
  </si>
  <si>
    <t>M²</t>
  </si>
  <si>
    <t xml:space="preserve">TVA   ( 20% - DHS ) </t>
  </si>
  <si>
    <t>TVA   ( 20% - DHS )</t>
  </si>
  <si>
    <t>M³</t>
  </si>
  <si>
    <t>TVA 2 ( 20% - DHS )</t>
  </si>
  <si>
    <t>TVA 3 ( 20% - DHS )</t>
  </si>
  <si>
    <t>TVA GENERAL 1+2+3 ( 20% - DHS )</t>
  </si>
  <si>
    <r>
      <t>DEBIT            : 15,00 m</t>
    </r>
    <r>
      <rPr>
        <vertAlign val="superscript"/>
        <sz val="10"/>
        <rFont val="Times New Roman"/>
        <family val="1"/>
      </rPr>
      <t>3</t>
    </r>
    <r>
      <rPr>
        <sz val="10"/>
        <rFont val="Times New Roman"/>
        <family val="1"/>
      </rPr>
      <t xml:space="preserve">/h </t>
    </r>
  </si>
  <si>
    <t>Capacité totale                              : 1009m³</t>
  </si>
  <si>
    <t xml:space="preserve">TABLEAU DE CALCUL SUBVENTION </t>
  </si>
  <si>
    <t>Client</t>
  </si>
  <si>
    <t>Paramètres de calcul</t>
  </si>
  <si>
    <t>Superficie nette à  équipée</t>
  </si>
  <si>
    <t>ha</t>
  </si>
  <si>
    <t>Bassin :</t>
  </si>
  <si>
    <t>Puissance calculée prévue</t>
  </si>
  <si>
    <t>kW</t>
  </si>
  <si>
    <t>Forage :</t>
  </si>
  <si>
    <t>Volume total du bassin prévu</t>
  </si>
  <si>
    <t>m³</t>
  </si>
  <si>
    <t xml:space="preserve">Taux de subv </t>
  </si>
  <si>
    <t>%</t>
  </si>
  <si>
    <t>Total :</t>
  </si>
  <si>
    <t>DESIGNATIONS</t>
  </si>
  <si>
    <t>Cout invest. Facturé</t>
  </si>
  <si>
    <t>Taux de subvention</t>
  </si>
  <si>
    <t>Subvention calculée</t>
  </si>
  <si>
    <t>Cout unitaire subventionné</t>
  </si>
  <si>
    <t>Plafond unitaire</t>
  </si>
  <si>
    <t>Cout unitaire retenu</t>
  </si>
  <si>
    <t>Montant subvention</t>
  </si>
  <si>
    <t xml:space="preserve"> Fourniture et installation des équipements de pompage.                         </t>
  </si>
  <si>
    <t>kw</t>
  </si>
  <si>
    <t xml:space="preserve"> Fourniture et installation de matériel de station de tête.</t>
  </si>
  <si>
    <t xml:space="preserve">Fourniture et pose des conduites d’amenée et de distribution. </t>
  </si>
  <si>
    <t xml:space="preserve">Fourniture et pose des tuyaux porteurs des distributeurs d’eau d’irrigation ainsi que les distributeurs d’eau. </t>
  </si>
  <si>
    <t>T O T A L :</t>
  </si>
  <si>
    <t>Total</t>
  </si>
  <si>
    <t xml:space="preserve"> </t>
  </si>
  <si>
    <t>Plafond calculé à ha</t>
  </si>
  <si>
    <t xml:space="preserve">Plafond fixé par la subvention </t>
  </si>
  <si>
    <t>Plafond retenu à ha</t>
  </si>
  <si>
    <t>La subvention retenu</t>
  </si>
  <si>
    <t>Aménagement de bassins de stockage de l’eau destiné à l’irrigation y compris le revetement</t>
  </si>
  <si>
    <t>Plafond maximum totale</t>
  </si>
  <si>
    <t>subvention retenu totale</t>
  </si>
  <si>
    <t xml:space="preserve">Sup. à équiper 02 Ha 93 Ar 00 Ca </t>
  </si>
  <si>
    <t>TUBE PVC  DIA 50 AQUAPLAST</t>
  </si>
  <si>
    <t>TUBE PVC  DIA 63 AQUAPLAST</t>
  </si>
  <si>
    <t>TUBE PVC  DIA 90 AQUAPLAST</t>
  </si>
  <si>
    <t>COUDE DIA 90 A 90</t>
  </si>
  <si>
    <t>COUDE DIA 90 A 45</t>
  </si>
  <si>
    <t>BRIDE + COLLET STRIE PVC DIA 90</t>
  </si>
  <si>
    <t>JOINT PLAT DIA 90</t>
  </si>
  <si>
    <t>BOUCHON PVC A COLLER DIA 90</t>
  </si>
  <si>
    <t>TE PVC A COLLER DIA 90</t>
  </si>
  <si>
    <t xml:space="preserve">TUBE PVC AQUAPLAST DIA 90 6 BAR  </t>
  </si>
  <si>
    <t xml:space="preserve">TUBE PVC AQUAPLAST DIA 63 6 BAR  </t>
  </si>
  <si>
    <t xml:space="preserve">TUBE PVC AQUAPLAST DIA 50 6 BAR  </t>
  </si>
  <si>
    <t xml:space="preserve">TUBE PVC AQUAPLAST DIA 75 6 BAR  </t>
  </si>
  <si>
    <t>TUYAU DN 13*16 IRRITEC</t>
  </si>
  <si>
    <t>HMT               : 100.38 m</t>
  </si>
  <si>
    <t>TYPE               : MN EN 733 32-160/A</t>
  </si>
  <si>
    <t>P.abs                : 3 Kw</t>
  </si>
  <si>
    <t>HMT               : 26.29 M</t>
  </si>
  <si>
    <t xml:space="preserve">DEBIT             : 21.72 M³/H  </t>
  </si>
  <si>
    <t>MARQUE        : ELECTROPOMPE MONOBLOC FORAS  *</t>
  </si>
  <si>
    <t>PROVINCE : SIDI IFNI</t>
  </si>
  <si>
    <t>FILTRE A SABLE DIA 3" (marque) ou similaire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</si>
</sst>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&quot;€&quot;_-;\-* #,##0.00\ &quot;€&quot;_-;_-* &quot;-&quot;??\ &quot;€&quot;_-;_-@_-"/>
    <numFmt numFmtId="165" formatCode="0.00;[Red]0.00"/>
    <numFmt numFmtId="166" formatCode="#,##0.00;[Red]#,##0.00"/>
    <numFmt numFmtId="167" formatCode="0.000;[Red]0.000"/>
    <numFmt numFmtId="168" formatCode="0.0000;[Red]0.0000"/>
    <numFmt numFmtId="169" formatCode="0.0000"/>
    <numFmt numFmtId="170" formatCode="#,##0.0000"/>
    <numFmt numFmtId="171" formatCode="#,##0.00\ &quot;Cv&quot;"/>
    <numFmt numFmtId="172" formatCode="#,##0.00\ &quot;Kw&quot;"/>
    <numFmt numFmtId="173" formatCode="_-* #,##0.00\ _€_-;\-* #,##0.00\ _€_-;_-* &quot;-&quot;??\ _€_-;_-@_-"/>
    <numFmt numFmtId="174" formatCode="#,##0\ &quot;DH&quot;"/>
  </numFmts>
  <fonts count="35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u/>
      <sz val="10"/>
      <name val="Times New Roman"/>
      <family val="1"/>
    </font>
    <font>
      <vertAlign val="superscript"/>
      <sz val="10"/>
      <name val="Times New Roman"/>
      <family val="1"/>
    </font>
    <font>
      <sz val="12"/>
      <color indexed="8"/>
      <name val="Times New Roman"/>
      <family val="1"/>
    </font>
    <font>
      <b/>
      <sz val="14"/>
      <color theme="1"/>
      <name val="Times New Roman"/>
      <family val="1"/>
    </font>
    <font>
      <sz val="14"/>
      <color indexed="8"/>
      <name val="Times New Roman"/>
      <family val="1"/>
    </font>
    <font>
      <b/>
      <sz val="12"/>
      <color indexed="8"/>
      <name val="Times New Roman"/>
      <family val="1"/>
    </font>
    <font>
      <b/>
      <sz val="12"/>
      <color rgb="FF002060"/>
      <name val="Times New Roman"/>
      <family val="1"/>
    </font>
    <font>
      <b/>
      <sz val="14"/>
      <color indexed="8"/>
      <name val="Times New Roman"/>
      <family val="1"/>
    </font>
    <font>
      <b/>
      <sz val="12"/>
      <name val="Times New Roman"/>
      <family val="1"/>
    </font>
    <font>
      <sz val="12"/>
      <color indexed="8"/>
      <name val="Bahnschrift"/>
      <family val="2"/>
    </font>
    <font>
      <b/>
      <sz val="14"/>
      <color rgb="FFFF0000"/>
      <name val="Times New Roman"/>
      <family val="1"/>
    </font>
    <font>
      <b/>
      <sz val="12"/>
      <color indexed="8"/>
      <name val="Bahnschrift"/>
      <family val="2"/>
    </font>
    <font>
      <sz val="12"/>
      <color rgb="FF002060"/>
      <name val="Bahnschrift"/>
      <family val="2"/>
    </font>
    <font>
      <b/>
      <sz val="11"/>
      <color indexed="8"/>
      <name val="Times New Roman"/>
      <family val="1"/>
    </font>
    <font>
      <b/>
      <sz val="10"/>
      <name val="Bahnschrift"/>
      <family val="2"/>
    </font>
    <font>
      <b/>
      <sz val="11"/>
      <color rgb="FF002060"/>
      <name val="Times New Roman"/>
      <family val="1"/>
    </font>
    <font>
      <b/>
      <sz val="11"/>
      <color rgb="FF0070C0"/>
      <name val="Times New Roman"/>
      <family val="1"/>
    </font>
    <font>
      <b/>
      <sz val="11"/>
      <color theme="1" tint="4.9989318521683403E-2"/>
      <name val="Times New Roman"/>
      <family val="1"/>
    </font>
    <font>
      <b/>
      <sz val="11"/>
      <color theme="1" tint="0.14999847407452621"/>
      <name val="Times New Roman"/>
      <family val="1"/>
    </font>
    <font>
      <b/>
      <sz val="11"/>
      <color indexed="48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10"/>
      <name val="Times New Roman"/>
      <family val="1"/>
    </font>
    <font>
      <b/>
      <sz val="12"/>
      <name val="Bahnschrift"/>
      <family val="2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indexed="8"/>
      <name val="Times New Roman"/>
      <family val="1"/>
    </font>
    <font>
      <b/>
      <sz val="11"/>
      <color indexed="57"/>
      <name val="Times New Roman"/>
      <family val="1"/>
    </font>
    <font>
      <sz val="11"/>
      <color indexed="10"/>
      <name val="Times New Roman"/>
      <family val="1"/>
    </font>
    <font>
      <b/>
      <sz val="11"/>
      <name val="Times New Roman"/>
      <family val="1"/>
    </font>
    <font>
      <b/>
      <sz val="14"/>
      <color rgb="FF002060"/>
      <name val="Times New Roman"/>
      <family val="1"/>
    </font>
    <font>
      <b/>
      <sz val="14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73" fontId="2" fillId="0" borderId="0" applyFont="0" applyFill="0" applyBorder="0" applyAlignment="0" applyProtection="0"/>
  </cellStyleXfs>
  <cellXfs count="226">
    <xf numFmtId="0" fontId="0" fillId="0" borderId="0" xfId="0"/>
    <xf numFmtId="0" fontId="3" fillId="0" borderId="0" xfId="0" applyFont="1" applyAlignment="1"/>
    <xf numFmtId="0" fontId="3" fillId="0" borderId="0" xfId="0" applyFont="1"/>
    <xf numFmtId="165" fontId="3" fillId="0" borderId="0" xfId="0" applyNumberFormat="1" applyFont="1"/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4" fontId="3" fillId="0" borderId="0" xfId="0" applyNumberFormat="1" applyFont="1"/>
    <xf numFmtId="166" fontId="3" fillId="0" borderId="0" xfId="0" applyNumberFormat="1" applyFont="1"/>
    <xf numFmtId="0" fontId="3" fillId="0" borderId="0" xfId="0" applyFont="1" applyBorder="1"/>
    <xf numFmtId="0" fontId="3" fillId="0" borderId="5" xfId="0" applyFont="1" applyBorder="1" applyAlignment="1">
      <alignment horizontal="left"/>
    </xf>
    <xf numFmtId="0" fontId="3" fillId="0" borderId="0" xfId="0" applyFont="1" applyFill="1"/>
    <xf numFmtId="14" fontId="4" fillId="0" borderId="0" xfId="0" applyNumberFormat="1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2" borderId="12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horizontal="center" vertical="center"/>
    </xf>
    <xf numFmtId="4" fontId="4" fillId="0" borderId="14" xfId="0" applyNumberFormat="1" applyFont="1" applyBorder="1" applyAlignment="1">
      <alignment vertical="center"/>
    </xf>
    <xf numFmtId="0" fontId="3" fillId="0" borderId="5" xfId="0" applyFont="1" applyBorder="1" applyAlignment="1">
      <alignment vertical="center" wrapText="1"/>
    </xf>
    <xf numFmtId="0" fontId="3" fillId="0" borderId="15" xfId="0" applyFont="1" applyBorder="1" applyAlignment="1">
      <alignment horizontal="center" vertical="center"/>
    </xf>
    <xf numFmtId="165" fontId="3" fillId="0" borderId="15" xfId="1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vertical="center"/>
    </xf>
    <xf numFmtId="0" fontId="3" fillId="0" borderId="16" xfId="0" applyFont="1" applyBorder="1" applyAlignment="1">
      <alignment horizontal="center"/>
    </xf>
    <xf numFmtId="165" fontId="3" fillId="0" borderId="16" xfId="1" applyNumberFormat="1" applyFont="1" applyBorder="1" applyAlignment="1">
      <alignment horizontal="center"/>
    </xf>
    <xf numFmtId="165" fontId="3" fillId="0" borderId="16" xfId="0" applyNumberFormat="1" applyFont="1" applyBorder="1"/>
    <xf numFmtId="0" fontId="3" fillId="0" borderId="5" xfId="0" applyFont="1" applyBorder="1" applyAlignment="1">
      <alignment vertical="center"/>
    </xf>
    <xf numFmtId="0" fontId="3" fillId="0" borderId="5" xfId="0" applyFont="1" applyBorder="1" applyAlignment="1">
      <alignment horizontal="center" vertical="center"/>
    </xf>
    <xf numFmtId="165" fontId="3" fillId="0" borderId="5" xfId="1" applyNumberFormat="1" applyFont="1" applyBorder="1" applyAlignment="1">
      <alignment horizontal="center" vertical="center"/>
    </xf>
    <xf numFmtId="4" fontId="3" fillId="0" borderId="0" xfId="0" applyNumberFormat="1" applyFont="1" applyBorder="1" applyAlignment="1">
      <alignment vertical="center"/>
    </xf>
    <xf numFmtId="0" fontId="3" fillId="2" borderId="11" xfId="0" applyFont="1" applyFill="1" applyBorder="1" applyAlignment="1">
      <alignment horizontal="left" vertical="center"/>
    </xf>
    <xf numFmtId="4" fontId="3" fillId="2" borderId="11" xfId="0" applyNumberFormat="1" applyFont="1" applyFill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11" xfId="0" applyFont="1" applyBorder="1" applyAlignment="1">
      <alignment vertical="center"/>
    </xf>
    <xf numFmtId="0" fontId="3" fillId="0" borderId="11" xfId="0" applyFont="1" applyBorder="1" applyAlignment="1">
      <alignment vertical="center" wrapText="1"/>
    </xf>
    <xf numFmtId="0" fontId="3" fillId="0" borderId="17" xfId="0" applyFont="1" applyBorder="1" applyAlignment="1">
      <alignment vertical="center" wrapText="1"/>
    </xf>
    <xf numFmtId="0" fontId="3" fillId="0" borderId="17" xfId="2" applyFont="1" applyBorder="1" applyAlignment="1">
      <alignment vertical="center" wrapText="1"/>
    </xf>
    <xf numFmtId="0" fontId="3" fillId="0" borderId="11" xfId="2" applyFont="1" applyBorder="1" applyAlignment="1">
      <alignment vertical="center" wrapText="1"/>
    </xf>
    <xf numFmtId="0" fontId="3" fillId="2" borderId="2" xfId="0" applyFont="1" applyFill="1" applyBorder="1" applyAlignment="1">
      <alignment vertical="center"/>
    </xf>
    <xf numFmtId="165" fontId="3" fillId="2" borderId="11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65" fontId="3" fillId="0" borderId="12" xfId="0" applyNumberFormat="1" applyFont="1" applyBorder="1" applyAlignment="1">
      <alignment horizontal="center" vertical="center"/>
    </xf>
    <xf numFmtId="0" fontId="3" fillId="2" borderId="2" xfId="0" applyFont="1" applyFill="1" applyBorder="1"/>
    <xf numFmtId="0" fontId="3" fillId="2" borderId="3" xfId="0" applyFont="1" applyFill="1" applyBorder="1"/>
    <xf numFmtId="165" fontId="3" fillId="2" borderId="11" xfId="0" applyNumberFormat="1" applyFont="1" applyFill="1" applyBorder="1" applyAlignment="1">
      <alignment horizontal="center"/>
    </xf>
    <xf numFmtId="0" fontId="4" fillId="0" borderId="0" xfId="0" applyFont="1" applyAlignment="1">
      <alignment horizontal="left" vertical="center"/>
    </xf>
    <xf numFmtId="0" fontId="3" fillId="0" borderId="18" xfId="0" applyFont="1" applyBorder="1" applyAlignment="1">
      <alignment horizontal="center" vertical="center"/>
    </xf>
    <xf numFmtId="165" fontId="3" fillId="0" borderId="18" xfId="0" applyNumberFormat="1" applyFont="1" applyBorder="1" applyAlignment="1">
      <alignment horizontal="center" vertical="center"/>
    </xf>
    <xf numFmtId="14" fontId="3" fillId="0" borderId="11" xfId="0" applyNumberFormat="1" applyFont="1" applyBorder="1" applyAlignment="1">
      <alignment horizontal="left" vertical="center"/>
    </xf>
    <xf numFmtId="0" fontId="3" fillId="2" borderId="12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165" fontId="3" fillId="0" borderId="14" xfId="0" applyNumberFormat="1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165" fontId="3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65" fontId="3" fillId="0" borderId="5" xfId="0" applyNumberFormat="1" applyFont="1" applyBorder="1" applyAlignment="1">
      <alignment horizontal="center"/>
    </xf>
    <xf numFmtId="166" fontId="3" fillId="0" borderId="5" xfId="0" applyNumberFormat="1" applyFont="1" applyBorder="1" applyAlignment="1">
      <alignment horizontal="center"/>
    </xf>
    <xf numFmtId="0" fontId="3" fillId="0" borderId="15" xfId="2" applyFont="1" applyBorder="1" applyAlignment="1">
      <alignment vertical="center" wrapText="1"/>
    </xf>
    <xf numFmtId="0" fontId="3" fillId="0" borderId="19" xfId="0" applyFont="1" applyBorder="1" applyAlignment="1"/>
    <xf numFmtId="0" fontId="3" fillId="0" borderId="10" xfId="0" applyFont="1" applyBorder="1" applyAlignment="1"/>
    <xf numFmtId="166" fontId="3" fillId="2" borderId="17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2" borderId="11" xfId="2" applyFont="1" applyFill="1" applyBorder="1" applyAlignment="1">
      <alignment horizontal="center"/>
    </xf>
    <xf numFmtId="0" fontId="3" fillId="0" borderId="5" xfId="2" applyFont="1" applyBorder="1" applyAlignment="1">
      <alignment horizontal="center"/>
    </xf>
    <xf numFmtId="0" fontId="3" fillId="0" borderId="5" xfId="2" applyFont="1" applyBorder="1" applyAlignment="1">
      <alignment vertical="center" wrapText="1"/>
    </xf>
    <xf numFmtId="0" fontId="3" fillId="0" borderId="5" xfId="2" applyFont="1" applyBorder="1" applyAlignment="1">
      <alignment horizontal="center" vertical="center" wrapText="1"/>
    </xf>
    <xf numFmtId="2" fontId="3" fillId="0" borderId="5" xfId="2" applyNumberFormat="1" applyFont="1" applyBorder="1" applyAlignment="1">
      <alignment horizontal="center" vertical="center" wrapText="1"/>
    </xf>
    <xf numFmtId="2" fontId="3" fillId="0" borderId="15" xfId="2" applyNumberFormat="1" applyFont="1" applyBorder="1" applyAlignment="1">
      <alignment horizontal="center" vertical="center" wrapText="1"/>
    </xf>
    <xf numFmtId="0" fontId="3" fillId="0" borderId="18" xfId="2" applyFont="1" applyBorder="1" applyAlignment="1">
      <alignment vertical="center" wrapText="1"/>
    </xf>
    <xf numFmtId="0" fontId="3" fillId="0" borderId="5" xfId="2" applyFont="1" applyBorder="1" applyAlignment="1">
      <alignment horizontal="center" wrapText="1"/>
    </xf>
    <xf numFmtId="0" fontId="3" fillId="0" borderId="15" xfId="2" applyFont="1" applyBorder="1" applyAlignment="1">
      <alignment horizontal="center" wrapText="1"/>
    </xf>
    <xf numFmtId="0" fontId="3" fillId="0" borderId="15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left" vertical="justify"/>
    </xf>
    <xf numFmtId="2" fontId="3" fillId="0" borderId="5" xfId="2" applyNumberFormat="1" applyFont="1" applyBorder="1" applyAlignment="1">
      <alignment horizontal="center"/>
    </xf>
    <xf numFmtId="2" fontId="3" fillId="0" borderId="15" xfId="2" applyNumberFormat="1" applyFont="1" applyBorder="1" applyAlignment="1">
      <alignment horizontal="center"/>
    </xf>
    <xf numFmtId="0" fontId="3" fillId="0" borderId="18" xfId="2" applyFont="1" applyBorder="1" applyAlignment="1">
      <alignment horizontal="center" wrapText="1"/>
    </xf>
    <xf numFmtId="2" fontId="3" fillId="0" borderId="18" xfId="2" applyNumberFormat="1" applyFont="1" applyBorder="1" applyAlignment="1">
      <alignment horizontal="center" wrapText="1"/>
    </xf>
    <xf numFmtId="2" fontId="3" fillId="2" borderId="4" xfId="2" applyNumberFormat="1" applyFont="1" applyFill="1" applyBorder="1" applyAlignment="1">
      <alignment horizontal="center" vertical="center" wrapText="1"/>
    </xf>
    <xf numFmtId="165" fontId="3" fillId="0" borderId="5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vertical="center" wrapText="1"/>
    </xf>
    <xf numFmtId="0" fontId="4" fillId="0" borderId="15" xfId="0" applyFont="1" applyBorder="1" applyAlignment="1">
      <alignment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5" xfId="0" applyNumberFormat="1" applyFont="1" applyBorder="1" applyAlignment="1">
      <alignment vertical="center"/>
    </xf>
    <xf numFmtId="169" fontId="3" fillId="0" borderId="5" xfId="0" applyNumberFormat="1" applyFont="1" applyBorder="1" applyAlignment="1">
      <alignment horizontal="center"/>
    </xf>
    <xf numFmtId="165" fontId="3" fillId="0" borderId="15" xfId="0" applyNumberFormat="1" applyFont="1" applyBorder="1" applyAlignment="1">
      <alignment vertical="center"/>
    </xf>
    <xf numFmtId="168" fontId="3" fillId="0" borderId="15" xfId="0" applyNumberFormat="1" applyFont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right" vertical="center"/>
    </xf>
    <xf numFmtId="166" fontId="3" fillId="2" borderId="11" xfId="0" applyNumberFormat="1" applyFont="1" applyFill="1" applyBorder="1" applyAlignment="1">
      <alignment horizontal="right" vertical="center"/>
    </xf>
    <xf numFmtId="0" fontId="3" fillId="0" borderId="14" xfId="0" applyFont="1" applyBorder="1"/>
    <xf numFmtId="166" fontId="3" fillId="0" borderId="14" xfId="0" applyNumberFormat="1" applyFont="1" applyBorder="1"/>
    <xf numFmtId="166" fontId="3" fillId="0" borderId="5" xfId="0" applyNumberFormat="1" applyFont="1" applyBorder="1"/>
    <xf numFmtId="0" fontId="3" fillId="0" borderId="16" xfId="0" applyFont="1" applyBorder="1" applyAlignment="1">
      <alignment vertical="center"/>
    </xf>
    <xf numFmtId="165" fontId="3" fillId="0" borderId="16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 vertical="center"/>
    </xf>
    <xf numFmtId="166" fontId="3" fillId="2" borderId="11" xfId="0" applyNumberFormat="1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2" borderId="11" xfId="0" applyFont="1" applyFill="1" applyBorder="1" applyAlignment="1">
      <alignment horizontal="left" vertical="center"/>
    </xf>
    <xf numFmtId="0" fontId="2" fillId="0" borderId="0" xfId="2"/>
    <xf numFmtId="4" fontId="6" fillId="0" borderId="0" xfId="2" applyNumberFormat="1" applyFont="1"/>
    <xf numFmtId="4" fontId="8" fillId="0" borderId="0" xfId="2" applyNumberFormat="1" applyFont="1"/>
    <xf numFmtId="4" fontId="6" fillId="5" borderId="0" xfId="2" applyNumberFormat="1" applyFont="1" applyFill="1"/>
    <xf numFmtId="4" fontId="6" fillId="0" borderId="0" xfId="2" applyNumberFormat="1" applyFont="1" applyAlignment="1">
      <alignment vertical="center"/>
    </xf>
    <xf numFmtId="0" fontId="2" fillId="0" borderId="0" xfId="2" applyAlignment="1">
      <alignment vertical="center"/>
    </xf>
    <xf numFmtId="170" fontId="10" fillId="5" borderId="11" xfId="2" applyNumberFormat="1" applyFont="1" applyFill="1" applyBorder="1" applyAlignment="1">
      <alignment horizontal="center" vertical="center" shrinkToFit="1"/>
    </xf>
    <xf numFmtId="4" fontId="12" fillId="0" borderId="11" xfId="2" applyNumberFormat="1" applyFont="1" applyBorder="1" applyAlignment="1">
      <alignment horizontal="center" vertical="center"/>
    </xf>
    <xf numFmtId="4" fontId="13" fillId="0" borderId="23" xfId="2" applyNumberFormat="1" applyFont="1" applyBorder="1" applyAlignment="1">
      <alignment horizontal="left" vertical="center"/>
    </xf>
    <xf numFmtId="171" fontId="13" fillId="0" borderId="24" xfId="2" applyNumberFormat="1" applyFont="1" applyBorder="1" applyAlignment="1">
      <alignment horizontal="center" vertical="center"/>
    </xf>
    <xf numFmtId="4" fontId="10" fillId="0" borderId="11" xfId="2" applyNumberFormat="1" applyFont="1" applyFill="1" applyBorder="1" applyAlignment="1">
      <alignment horizontal="center" vertical="center" shrinkToFit="1"/>
    </xf>
    <xf numFmtId="4" fontId="12" fillId="0" borderId="11" xfId="2" applyNumberFormat="1" applyFont="1" applyBorder="1" applyAlignment="1">
      <alignment horizontal="center"/>
    </xf>
    <xf numFmtId="4" fontId="13" fillId="0" borderId="25" xfId="2" applyNumberFormat="1" applyFont="1" applyBorder="1" applyAlignment="1">
      <alignment horizontal="left" vertical="center"/>
    </xf>
    <xf numFmtId="171" fontId="13" fillId="0" borderId="26" xfId="2" applyNumberFormat="1" applyFont="1" applyBorder="1" applyAlignment="1">
      <alignment horizontal="center" vertical="center"/>
    </xf>
    <xf numFmtId="4" fontId="10" fillId="5" borderId="11" xfId="2" applyNumberFormat="1" applyFont="1" applyFill="1" applyBorder="1" applyAlignment="1">
      <alignment horizontal="center" vertical="center" shrinkToFit="1"/>
    </xf>
    <xf numFmtId="0" fontId="2" fillId="0" borderId="25" xfId="2" applyBorder="1"/>
    <xf numFmtId="0" fontId="2" fillId="0" borderId="26" xfId="2" applyBorder="1"/>
    <xf numFmtId="3" fontId="14" fillId="0" borderId="2" xfId="2" applyNumberFormat="1" applyFont="1" applyFill="1" applyBorder="1" applyAlignment="1">
      <alignment horizontal="center" vertical="center" shrinkToFit="1"/>
    </xf>
    <xf numFmtId="4" fontId="9" fillId="0" borderId="0" xfId="2" applyNumberFormat="1" applyFont="1" applyAlignment="1">
      <alignment horizontal="center"/>
    </xf>
    <xf numFmtId="4" fontId="9" fillId="0" borderId="0" xfId="2" applyNumberFormat="1" applyFont="1"/>
    <xf numFmtId="172" fontId="16" fillId="0" borderId="28" xfId="2" applyNumberFormat="1" applyFont="1" applyBorder="1" applyAlignment="1">
      <alignment horizontal="center" vertical="center"/>
    </xf>
    <xf numFmtId="4" fontId="17" fillId="4" borderId="11" xfId="2" applyNumberFormat="1" applyFont="1" applyFill="1" applyBorder="1" applyAlignment="1">
      <alignment horizontal="center" vertical="center" wrapText="1"/>
    </xf>
    <xf numFmtId="0" fontId="18" fillId="0" borderId="0" xfId="2" applyFont="1" applyAlignment="1">
      <alignment horizontal="left"/>
    </xf>
    <xf numFmtId="0" fontId="18" fillId="0" borderId="0" xfId="2" applyFont="1" applyAlignment="1">
      <alignment horizontal="right"/>
    </xf>
    <xf numFmtId="4" fontId="17" fillId="6" borderId="11" xfId="2" applyNumberFormat="1" applyFont="1" applyFill="1" applyBorder="1" applyAlignment="1">
      <alignment vertical="center" wrapText="1"/>
    </xf>
    <xf numFmtId="4" fontId="19" fillId="5" borderId="11" xfId="3" applyNumberFormat="1" applyFont="1" applyFill="1" applyBorder="1" applyAlignment="1">
      <alignment horizontal="center" vertical="center" wrapText="1"/>
    </xf>
    <xf numFmtId="10" fontId="20" fillId="5" borderId="11" xfId="3" applyNumberFormat="1" applyFont="1" applyFill="1" applyBorder="1" applyAlignment="1">
      <alignment horizontal="center" vertical="center" wrapText="1"/>
    </xf>
    <xf numFmtId="4" fontId="17" fillId="5" borderId="11" xfId="3" applyNumberFormat="1" applyFont="1" applyFill="1" applyBorder="1" applyAlignment="1">
      <alignment horizontal="center" vertical="center"/>
    </xf>
    <xf numFmtId="4" fontId="21" fillId="5" borderId="11" xfId="3" applyNumberFormat="1" applyFont="1" applyFill="1" applyBorder="1" applyAlignment="1">
      <alignment horizontal="center" vertical="center"/>
    </xf>
    <xf numFmtId="4" fontId="22" fillId="5" borderId="11" xfId="3" applyNumberFormat="1" applyFont="1" applyFill="1" applyBorder="1" applyAlignment="1">
      <alignment horizontal="center" vertical="center"/>
    </xf>
    <xf numFmtId="4" fontId="23" fillId="5" borderId="11" xfId="3" applyNumberFormat="1" applyFont="1" applyFill="1" applyBorder="1" applyAlignment="1">
      <alignment horizontal="center" vertical="center"/>
    </xf>
    <xf numFmtId="4" fontId="24" fillId="5" borderId="11" xfId="3" applyNumberFormat="1" applyFont="1" applyFill="1" applyBorder="1" applyAlignment="1">
      <alignment horizontal="center" vertical="center"/>
    </xf>
    <xf numFmtId="4" fontId="25" fillId="5" borderId="11" xfId="3" applyNumberFormat="1" applyFont="1" applyFill="1" applyBorder="1" applyAlignment="1">
      <alignment horizontal="right" vertical="center"/>
    </xf>
    <xf numFmtId="170" fontId="17" fillId="5" borderId="11" xfId="3" applyNumberFormat="1" applyFont="1" applyFill="1" applyBorder="1" applyAlignment="1">
      <alignment horizontal="center" vertical="center"/>
    </xf>
    <xf numFmtId="4" fontId="27" fillId="6" borderId="11" xfId="2" applyNumberFormat="1" applyFont="1" applyFill="1" applyBorder="1" applyAlignment="1">
      <alignment vertical="center" wrapText="1"/>
    </xf>
    <xf numFmtId="4" fontId="28" fillId="7" borderId="11" xfId="2" applyNumberFormat="1" applyFont="1" applyFill="1" applyBorder="1" applyAlignment="1">
      <alignment horizontal="left" vertical="center" wrapText="1"/>
    </xf>
    <xf numFmtId="4" fontId="29" fillId="0" borderId="0" xfId="2" applyNumberFormat="1" applyFont="1" applyBorder="1" applyAlignment="1">
      <alignment horizontal="center"/>
    </xf>
    <xf numFmtId="4" fontId="29" fillId="0" borderId="0" xfId="2" applyNumberFormat="1" applyFont="1" applyFill="1" applyBorder="1"/>
    <xf numFmtId="4" fontId="30" fillId="5" borderId="11" xfId="3" applyNumberFormat="1" applyFont="1" applyFill="1" applyBorder="1" applyAlignment="1">
      <alignment horizontal="right" vertical="center"/>
    </xf>
    <xf numFmtId="4" fontId="23" fillId="5" borderId="11" xfId="2" applyNumberFormat="1" applyFont="1" applyFill="1" applyBorder="1" applyAlignment="1">
      <alignment horizontal="right" vertical="center"/>
    </xf>
    <xf numFmtId="4" fontId="31" fillId="5" borderId="11" xfId="2" applyNumberFormat="1" applyFont="1" applyFill="1" applyBorder="1" applyAlignment="1">
      <alignment horizontal="right" vertical="center"/>
    </xf>
    <xf numFmtId="4" fontId="17" fillId="0" borderId="0" xfId="2" applyNumberFormat="1" applyFont="1" applyBorder="1" applyAlignment="1">
      <alignment horizontal="center"/>
    </xf>
    <xf numFmtId="4" fontId="27" fillId="6" borderId="11" xfId="2" applyNumberFormat="1" applyFont="1" applyFill="1" applyBorder="1" applyAlignment="1">
      <alignment horizontal="left" vertical="center" wrapText="1"/>
    </xf>
    <xf numFmtId="4" fontId="32" fillId="5" borderId="11" xfId="2" applyNumberFormat="1" applyFont="1" applyFill="1" applyBorder="1" applyAlignment="1">
      <alignment horizontal="center" vertical="center" wrapText="1"/>
    </xf>
    <xf numFmtId="4" fontId="32" fillId="5" borderId="11" xfId="2" applyNumberFormat="1" applyFont="1" applyFill="1" applyBorder="1" applyAlignment="1">
      <alignment horizontal="center" vertical="center"/>
    </xf>
    <xf numFmtId="4" fontId="25" fillId="5" borderId="2" xfId="3" applyNumberFormat="1" applyFont="1" applyFill="1" applyBorder="1" applyAlignment="1">
      <alignment horizontal="right" vertical="center"/>
    </xf>
    <xf numFmtId="0" fontId="2" fillId="0" borderId="0" xfId="2" applyAlignment="1">
      <alignment horizontal="left"/>
    </xf>
    <xf numFmtId="4" fontId="11" fillId="6" borderId="11" xfId="2" applyNumberFormat="1" applyFont="1" applyFill="1" applyBorder="1" applyAlignment="1">
      <alignment vertical="center"/>
    </xf>
    <xf numFmtId="10" fontId="34" fillId="0" borderId="0" xfId="2" applyNumberFormat="1" applyFont="1" applyAlignment="1">
      <alignment vertical="center"/>
    </xf>
    <xf numFmtId="4" fontId="6" fillId="0" borderId="0" xfId="2" applyNumberFormat="1" applyFont="1" applyBorder="1" applyAlignment="1">
      <alignment horizontal="center"/>
    </xf>
    <xf numFmtId="4" fontId="9" fillId="0" borderId="0" xfId="2" applyNumberFormat="1" applyFont="1" applyBorder="1" applyAlignment="1">
      <alignment horizontal="center"/>
    </xf>
    <xf numFmtId="174" fontId="2" fillId="0" borderId="0" xfId="2" applyNumberFormat="1"/>
    <xf numFmtId="10" fontId="18" fillId="0" borderId="31" xfId="2" applyNumberFormat="1" applyFont="1" applyBorder="1" applyAlignment="1">
      <alignment horizontal="center" vertical="center"/>
    </xf>
    <xf numFmtId="10" fontId="18" fillId="0" borderId="32" xfId="2" applyNumberFormat="1" applyFont="1" applyBorder="1" applyAlignment="1">
      <alignment horizontal="center" vertical="center"/>
    </xf>
    <xf numFmtId="0" fontId="3" fillId="2" borderId="11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0" borderId="12" xfId="0" applyFont="1" applyBorder="1" applyAlignment="1">
      <alignment vertical="center" wrapText="1"/>
    </xf>
    <xf numFmtId="0" fontId="3" fillId="0" borderId="15" xfId="0" applyFont="1" applyBorder="1" applyAlignment="1">
      <alignment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3" fillId="0" borderId="12" xfId="0" applyNumberFormat="1" applyFont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12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8" xfId="0" applyNumberFormat="1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67" fontId="3" fillId="0" borderId="12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 vertical="center"/>
    </xf>
    <xf numFmtId="165" fontId="3" fillId="0" borderId="11" xfId="0" applyNumberFormat="1" applyFont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0" fontId="12" fillId="0" borderId="0" xfId="2" applyNumberFormat="1" applyFont="1" applyAlignment="1">
      <alignment horizontal="center" vertical="center"/>
    </xf>
    <xf numFmtId="4" fontId="17" fillId="5" borderId="11" xfId="2" applyNumberFormat="1" applyFont="1" applyFill="1" applyBorder="1" applyAlignment="1">
      <alignment horizontal="left" vertical="center"/>
    </xf>
    <xf numFmtId="174" fontId="26" fillId="0" borderId="29" xfId="2" applyNumberFormat="1" applyFont="1" applyBorder="1" applyAlignment="1">
      <alignment horizontal="center" vertical="center"/>
    </xf>
    <xf numFmtId="174" fontId="26" fillId="0" borderId="30" xfId="2" applyNumberFormat="1" applyFont="1" applyBorder="1" applyAlignment="1">
      <alignment horizontal="center" vertical="center"/>
    </xf>
    <xf numFmtId="174" fontId="11" fillId="8" borderId="11" xfId="2" applyNumberFormat="1" applyFont="1" applyFill="1" applyBorder="1" applyAlignment="1">
      <alignment horizontal="center" vertical="center"/>
    </xf>
    <xf numFmtId="10" fontId="33" fillId="8" borderId="11" xfId="2" applyNumberFormat="1" applyFont="1" applyFill="1" applyBorder="1" applyAlignment="1">
      <alignment horizontal="center" vertical="center"/>
    </xf>
    <xf numFmtId="4" fontId="6" fillId="0" borderId="0" xfId="2" applyNumberFormat="1" applyFont="1" applyBorder="1" applyAlignment="1">
      <alignment horizontal="center" vertical="center"/>
    </xf>
    <xf numFmtId="10" fontId="26" fillId="0" borderId="29" xfId="2" applyNumberFormat="1" applyFont="1" applyBorder="1" applyAlignment="1">
      <alignment horizontal="center" vertical="center"/>
    </xf>
    <xf numFmtId="10" fontId="26" fillId="0" borderId="30" xfId="2" applyNumberFormat="1" applyFont="1" applyBorder="1" applyAlignment="1">
      <alignment horizontal="center" vertical="center"/>
    </xf>
    <xf numFmtId="4" fontId="17" fillId="5" borderId="2" xfId="3" applyNumberFormat="1" applyFont="1" applyFill="1" applyBorder="1" applyAlignment="1">
      <alignment horizontal="center" vertical="center"/>
    </xf>
    <xf numFmtId="4" fontId="17" fillId="5" borderId="3" xfId="3" applyNumberFormat="1" applyFont="1" applyFill="1" applyBorder="1" applyAlignment="1">
      <alignment horizontal="center" vertical="center"/>
    </xf>
    <xf numFmtId="4" fontId="17" fillId="5" borderId="4" xfId="3" applyNumberFormat="1" applyFont="1" applyFill="1" applyBorder="1" applyAlignment="1">
      <alignment horizontal="center" vertical="center"/>
    </xf>
    <xf numFmtId="4" fontId="17" fillId="5" borderId="11" xfId="2" applyNumberFormat="1" applyFont="1" applyFill="1" applyBorder="1" applyAlignment="1">
      <alignment horizontal="left" vertical="center" wrapText="1"/>
    </xf>
    <xf numFmtId="4" fontId="9" fillId="5" borderId="2" xfId="2" applyNumberFormat="1" applyFont="1" applyFill="1" applyBorder="1" applyAlignment="1">
      <alignment horizontal="center" wrapText="1"/>
    </xf>
    <xf numFmtId="4" fontId="9" fillId="5" borderId="4" xfId="2" applyNumberFormat="1" applyFont="1" applyFill="1" applyBorder="1" applyAlignment="1">
      <alignment horizontal="center" wrapText="1"/>
    </xf>
    <xf numFmtId="4" fontId="9" fillId="5" borderId="11" xfId="2" applyNumberFormat="1" applyFont="1" applyFill="1" applyBorder="1" applyAlignment="1">
      <alignment horizontal="center"/>
    </xf>
    <xf numFmtId="4" fontId="15" fillId="0" borderId="25" xfId="2" applyNumberFormat="1" applyFont="1" applyBorder="1" applyAlignment="1">
      <alignment horizontal="left" vertical="center"/>
    </xf>
    <xf numFmtId="4" fontId="15" fillId="0" borderId="27" xfId="2" applyNumberFormat="1" applyFont="1" applyBorder="1" applyAlignment="1">
      <alignment horizontal="left" vertical="center"/>
    </xf>
    <xf numFmtId="4" fontId="7" fillId="4" borderId="2" xfId="2" applyNumberFormat="1" applyFont="1" applyFill="1" applyBorder="1" applyAlignment="1">
      <alignment horizontal="center"/>
    </xf>
    <xf numFmtId="4" fontId="7" fillId="4" borderId="3" xfId="2" applyNumberFormat="1" applyFont="1" applyFill="1" applyBorder="1" applyAlignment="1">
      <alignment horizontal="center"/>
    </xf>
    <xf numFmtId="4" fontId="7" fillId="4" borderId="4" xfId="2" applyNumberFormat="1" applyFont="1" applyFill="1" applyBorder="1" applyAlignment="1">
      <alignment horizontal="center"/>
    </xf>
    <xf numFmtId="4" fontId="9" fillId="5" borderId="11" xfId="2" applyNumberFormat="1" applyFont="1" applyFill="1" applyBorder="1" applyAlignment="1">
      <alignment horizontal="center" vertical="center"/>
    </xf>
    <xf numFmtId="4" fontId="10" fillId="5" borderId="6" xfId="2" applyNumberFormat="1" applyFont="1" applyFill="1" applyBorder="1" applyAlignment="1">
      <alignment horizontal="center" vertical="center" wrapText="1"/>
    </xf>
    <xf numFmtId="4" fontId="10" fillId="5" borderId="7" xfId="2" applyNumberFormat="1" applyFont="1" applyFill="1" applyBorder="1" applyAlignment="1">
      <alignment horizontal="center" vertical="center" wrapText="1"/>
    </xf>
    <xf numFmtId="4" fontId="10" fillId="5" borderId="9" xfId="2" applyNumberFormat="1" applyFont="1" applyFill="1" applyBorder="1" applyAlignment="1">
      <alignment horizontal="center" vertical="center" wrapText="1"/>
    </xf>
    <xf numFmtId="4" fontId="10" fillId="5" borderId="10" xfId="2" applyNumberFormat="1" applyFont="1" applyFill="1" applyBorder="1" applyAlignment="1">
      <alignment horizontal="center" vertical="center" wrapText="1"/>
    </xf>
    <xf numFmtId="4" fontId="11" fillId="6" borderId="11" xfId="2" applyNumberFormat="1" applyFont="1" applyFill="1" applyBorder="1" applyAlignment="1">
      <alignment horizontal="center" vertical="center"/>
    </xf>
    <xf numFmtId="4" fontId="9" fillId="5" borderId="2" xfId="2" applyNumberFormat="1" applyFont="1" applyFill="1" applyBorder="1" applyAlignment="1">
      <alignment horizontal="center" vertical="center"/>
    </xf>
    <xf numFmtId="4" fontId="9" fillId="5" borderId="4" xfId="2" applyNumberFormat="1" applyFont="1" applyFill="1" applyBorder="1" applyAlignment="1">
      <alignment horizontal="center" vertical="center"/>
    </xf>
    <xf numFmtId="4" fontId="9" fillId="5" borderId="2" xfId="2" applyNumberFormat="1" applyFont="1" applyFill="1" applyBorder="1" applyAlignment="1">
      <alignment horizontal="center"/>
    </xf>
    <xf numFmtId="4" fontId="9" fillId="5" borderId="4" xfId="2" applyNumberFormat="1" applyFont="1" applyFill="1" applyBorder="1" applyAlignment="1">
      <alignment horizontal="center"/>
    </xf>
    <xf numFmtId="0" fontId="3" fillId="3" borderId="16" xfId="0" applyFont="1" applyFill="1" applyBorder="1"/>
    <xf numFmtId="0" fontId="3" fillId="0" borderId="14" xfId="0" applyFont="1" applyFill="1" applyBorder="1" applyAlignment="1">
      <alignment horizontal="left"/>
    </xf>
    <xf numFmtId="0" fontId="3" fillId="0" borderId="11" xfId="0" applyFont="1" applyBorder="1" applyAlignment="1">
      <alignment horizontal="left" vertical="center"/>
    </xf>
    <xf numFmtId="2" fontId="3" fillId="0" borderId="0" xfId="0" applyNumberFormat="1" applyFont="1" applyAlignment="1">
      <alignment vertical="center"/>
    </xf>
    <xf numFmtId="165" fontId="3" fillId="0" borderId="0" xfId="0" applyNumberFormat="1" applyFont="1" applyAlignment="1">
      <alignment vertical="center"/>
    </xf>
  </cellXfs>
  <cellStyles count="4">
    <cellStyle name="Comma 2" xfId="3" xr:uid="{8E021610-4557-4D36-B067-A7A1659446AE}"/>
    <cellStyle name="Euro" xfId="1" xr:uid="{00000000-0005-0000-0000-000000000000}"/>
    <cellStyle name="Normal" xfId="0" builtinId="0"/>
    <cellStyle name="Normal 2" xfId="2" xr:uid="{00000000-0005-0000-0000-000002000000}"/>
  </cellStyles>
  <dxfs count="1"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Plafond retenu/max</a:t>
            </a:r>
          </a:p>
        </c:rich>
      </c:tx>
      <c:layout>
        <c:manualLayout>
          <c:xMode val="edge"/>
          <c:yMode val="edge"/>
          <c:x val="0.12304843941439501"/>
          <c:y val="0.115254237288135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9685966600838292"/>
          <c:y val="0.13620338983050848"/>
          <c:w val="0.33281099688164895"/>
          <c:h val="0.73707300146803678"/>
        </c:manualLayout>
      </c:layout>
      <c:doughnutChart>
        <c:varyColors val="1"/>
        <c:ser>
          <c:idx val="0"/>
          <c:order val="0"/>
          <c:tx>
            <c:strRef>
              <c:f>Subvention!$D$25</c:f>
              <c:strCache>
                <c:ptCount val="1"/>
                <c:pt idx="0">
                  <c:v>100.00%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6C-471C-AC2A-BE2AF603F310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86C-471C-AC2A-BE2AF603F310}"/>
              </c:ext>
            </c:extLst>
          </c:dPt>
          <c:val>
            <c:numRef>
              <c:f>Subvention!$B$37:$B$38</c:f>
              <c:numCache>
                <c:formatCode>0.00%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6C-471C-AC2A-BE2AF603F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Recap total/retenu</a:t>
            </a:r>
          </a:p>
        </c:rich>
      </c:tx>
      <c:layout>
        <c:manualLayout>
          <c:xMode val="edge"/>
          <c:yMode val="edge"/>
          <c:x val="0.12304843941439501"/>
          <c:y val="0.115254237288135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9685966600838292"/>
          <c:y val="0.13620338983050848"/>
          <c:w val="0.33281099688164895"/>
          <c:h val="0.7370730014680367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692-4263-ABAB-8B3E1F62300C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692-4263-ABAB-8B3E1F62300C}"/>
              </c:ext>
            </c:extLst>
          </c:dPt>
          <c:dLbls>
            <c:delete val="1"/>
          </c:dLbls>
          <c:val>
            <c:numRef>
              <c:f>Subvention!$H$37:$H$38</c:f>
              <c:numCache>
                <c:formatCode>0.00%</c:formatCode>
                <c:ptCount val="2"/>
                <c:pt idx="0">
                  <c:v>0.57960896405054918</c:v>
                </c:pt>
                <c:pt idx="1">
                  <c:v>0.42039103594945082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92-4263-ABAB-8B3E1F62300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857250</xdr:colOff>
      <xdr:row>27</xdr:row>
      <xdr:rowOff>1</xdr:rowOff>
    </xdr:from>
    <xdr:to>
      <xdr:col>3</xdr:col>
      <xdr:colOff>0</xdr:colOff>
      <xdr:row>34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5280D4-40CD-4374-8030-599606BA2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465666</xdr:colOff>
      <xdr:row>27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132F46-B226-40EB-85CB-D641A8350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2222501</xdr:colOff>
      <xdr:row>31</xdr:row>
      <xdr:rowOff>0</xdr:rowOff>
    </xdr:from>
    <xdr:to>
      <xdr:col>1</xdr:col>
      <xdr:colOff>0</xdr:colOff>
      <xdr:row>33</xdr:row>
      <xdr:rowOff>21167</xdr:rowOff>
    </xdr:to>
    <xdr:sp macro="" textlink="$D$25">
      <xdr:nvSpPr>
        <xdr:cNvPr id="4" name="TextBox 3">
          <a:extLst>
            <a:ext uri="{FF2B5EF4-FFF2-40B4-BE49-F238E27FC236}">
              <a16:creationId xmlns:a16="http://schemas.microsoft.com/office/drawing/2014/main" id="{C250EC21-A48E-4CA4-BE03-725F9F4D56B2}"/>
            </a:ext>
          </a:extLst>
        </xdr:cNvPr>
        <xdr:cNvSpPr txBox="1"/>
      </xdr:nvSpPr>
      <xdr:spPr>
        <a:xfrm>
          <a:off x="2222501" y="8511540"/>
          <a:ext cx="1168399" cy="40216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E82A7-8963-4C34-AC4D-728EE0EFCC19}" type="TxLink">
            <a:rPr lang="en-US" sz="1800" b="1" i="0" u="none" strike="noStrike">
              <a:solidFill>
                <a:srgbClr val="0070C0"/>
              </a:solidFill>
              <a:latin typeface="Times New Roman"/>
              <a:cs typeface="Times New Roman"/>
            </a:rPr>
            <a:pPr algn="ctr"/>
            <a:t>100.00%</a:t>
          </a:fld>
          <a:endParaRPr lang="en-US" sz="1400">
            <a:solidFill>
              <a:srgbClr val="0070C0"/>
            </a:solidFill>
          </a:endParaRPr>
        </a:p>
      </xdr:txBody>
    </xdr:sp>
    <xdr:clientData/>
  </xdr:twoCellAnchor>
  <xdr:twoCellAnchor>
    <xdr:from>
      <xdr:col>5</xdr:col>
      <xdr:colOff>0</xdr:colOff>
      <xdr:row>30</xdr:row>
      <xdr:rowOff>201083</xdr:rowOff>
    </xdr:from>
    <xdr:to>
      <xdr:col>6</xdr:col>
      <xdr:colOff>211666</xdr:colOff>
      <xdr:row>33</xdr:row>
      <xdr:rowOff>0</xdr:rowOff>
    </xdr:to>
    <xdr:sp macro="" textlink="$H$37">
      <xdr:nvSpPr>
        <xdr:cNvPr id="5" name="TextBox 4">
          <a:extLst>
            <a:ext uri="{FF2B5EF4-FFF2-40B4-BE49-F238E27FC236}">
              <a16:creationId xmlns:a16="http://schemas.microsoft.com/office/drawing/2014/main" id="{80B79AB2-527F-4DC1-AAC3-7F1EE069A03C}"/>
            </a:ext>
          </a:extLst>
        </xdr:cNvPr>
        <xdr:cNvSpPr txBox="1"/>
      </xdr:nvSpPr>
      <xdr:spPr>
        <a:xfrm>
          <a:off x="7658100" y="8499263"/>
          <a:ext cx="1278466" cy="3932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B781E3D-FA2E-4E06-A910-AFE40D0AB276}" type="TxLink">
            <a:rPr lang="en-US" sz="1800" b="1" i="0" u="none" strike="noStrike">
              <a:solidFill>
                <a:srgbClr val="00B050"/>
              </a:solidFill>
              <a:latin typeface="Times New Roman"/>
              <a:ea typeface="+mn-ea"/>
              <a:cs typeface="Times New Roman"/>
            </a:rPr>
            <a:pPr marL="0" indent="0" algn="ctr"/>
            <a:t>57.96%</a:t>
          </a:fld>
          <a:endParaRPr lang="en-US" sz="1800" b="1" i="0" u="none" strike="noStrike">
            <a:solidFill>
              <a:srgbClr val="00B050"/>
            </a:solidFill>
            <a:latin typeface="Times New Roman"/>
            <a:ea typeface="+mn-ea"/>
            <a:cs typeface="Times New Roman"/>
          </a:endParaRP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0</xdr:colOff>
      <xdr:row>3</xdr:row>
      <xdr:rowOff>0</xdr:rowOff>
    </xdr:to>
    <xdr:sp macro="[2]!print_ou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F315CA1-EF29-496C-A7F2-CB6D179620A4}"/>
            </a:ext>
          </a:extLst>
        </xdr:cNvPr>
        <xdr:cNvSpPr/>
      </xdr:nvSpPr>
      <xdr:spPr>
        <a:xfrm>
          <a:off x="13411200" y="121920"/>
          <a:ext cx="1508760" cy="434340"/>
        </a:xfrm>
        <a:prstGeom prst="roundRect">
          <a:avLst/>
        </a:prstGeom>
        <a:solidFill>
          <a:srgbClr val="00B050"/>
        </a:solidFill>
        <a:ln w="12700"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Convert</a:t>
          </a:r>
          <a:r>
            <a:rPr lang="en-GB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GB" sz="14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ther%20computers/My%20Laptop/Agri%20taddart/Remarques/EN%20COURS/B.M.G.A%20Sarl%20Au/DEVIS%203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Agri%20taddart/REMARQUES/TERMINE/Ibrahim%20Smali%20-%20Mohamadiya%2030/v2/DEVIS%204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IS "/>
      <sheetName val="Subvention"/>
      <sheetName val="bassin"/>
      <sheetName val="DEVIS 3.1"/>
    </sheetNames>
    <sheetDataSet>
      <sheetData sheetId="0">
        <row r="201">
          <cell r="D201" t="str">
            <v>Quantité</v>
          </cell>
        </row>
        <row r="224">
          <cell r="C224">
            <v>140400</v>
          </cell>
        </row>
      </sheetData>
      <sheetData sheetId="1">
        <row r="21">
          <cell r="D21">
            <v>0.90576846388398824</v>
          </cell>
        </row>
      </sheetData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IS "/>
      <sheetName val="Subvention"/>
      <sheetName val="bassin"/>
      <sheetName val="DEVIS 4.0"/>
    </sheetNames>
    <definedNames>
      <definedName name="print_out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5:L86"/>
  <sheetViews>
    <sheetView tabSelected="1" view="pageBreakPreview" topLeftCell="B1" zoomScaleNormal="100" zoomScaleSheetLayoutView="100" workbookViewId="0">
      <selection activeCell="H13" sqref="H13"/>
    </sheetView>
  </sheetViews>
  <sheetFormatPr defaultColWidth="11.5546875" defaultRowHeight="13.2" x14ac:dyDescent="0.25"/>
  <cols>
    <col min="1" max="1" width="0.44140625" style="2" hidden="1" customWidth="1"/>
    <col min="2" max="2" width="44.88671875" style="2" customWidth="1"/>
    <col min="3" max="3" width="6.5546875" style="2" customWidth="1"/>
    <col min="4" max="4" width="8.109375" style="2" customWidth="1"/>
    <col min="5" max="5" width="11.109375" style="2" customWidth="1"/>
    <col min="6" max="6" width="17.33203125" style="2" customWidth="1"/>
    <col min="7" max="16384" width="11.5546875" style="2"/>
  </cols>
  <sheetData>
    <row r="5" spans="2:6" x14ac:dyDescent="0.25">
      <c r="B5" s="11">
        <v>44560</v>
      </c>
      <c r="C5" s="4"/>
      <c r="D5" s="4"/>
      <c r="E5" s="12" t="s">
        <v>84</v>
      </c>
      <c r="F5" s="13"/>
    </row>
    <row r="6" spans="2:6" x14ac:dyDescent="0.25">
      <c r="B6" s="14" t="s">
        <v>83</v>
      </c>
      <c r="C6" s="4"/>
      <c r="D6" s="4"/>
      <c r="E6" s="15" t="s">
        <v>85</v>
      </c>
      <c r="F6" s="5"/>
    </row>
    <row r="7" spans="2:6" x14ac:dyDescent="0.25">
      <c r="B7" s="14" t="s">
        <v>181</v>
      </c>
      <c r="C7" s="4"/>
      <c r="D7" s="4"/>
      <c r="E7" s="15" t="s">
        <v>86</v>
      </c>
      <c r="F7" s="5"/>
    </row>
    <row r="8" spans="2:6" x14ac:dyDescent="0.25">
      <c r="B8" s="14" t="s">
        <v>0</v>
      </c>
      <c r="C8" s="4"/>
      <c r="D8" s="5"/>
      <c r="E8" s="16" t="s">
        <v>87</v>
      </c>
      <c r="F8" s="5"/>
    </row>
    <row r="9" spans="2:6" x14ac:dyDescent="0.25">
      <c r="B9" s="14" t="s">
        <v>7</v>
      </c>
      <c r="C9" s="4"/>
      <c r="D9" s="4"/>
      <c r="E9" s="17" t="s">
        <v>88</v>
      </c>
      <c r="F9" s="18"/>
    </row>
    <row r="10" spans="2:6" x14ac:dyDescent="0.25">
      <c r="B10" s="4"/>
      <c r="C10" s="4"/>
      <c r="D10" s="4"/>
      <c r="E10" s="16"/>
      <c r="F10" s="16"/>
    </row>
    <row r="11" spans="2:6" x14ac:dyDescent="0.25">
      <c r="B11" s="4"/>
      <c r="C11" s="4"/>
      <c r="D11" s="4"/>
      <c r="E11" s="16"/>
      <c r="F11" s="16"/>
    </row>
    <row r="12" spans="2:6" x14ac:dyDescent="0.25">
      <c r="B12" s="19" t="s">
        <v>1</v>
      </c>
      <c r="C12" s="20" t="s">
        <v>2</v>
      </c>
      <c r="D12" s="20" t="s">
        <v>3</v>
      </c>
      <c r="E12" s="20" t="s">
        <v>4</v>
      </c>
      <c r="F12" s="20" t="s">
        <v>5</v>
      </c>
    </row>
    <row r="13" spans="2:6" x14ac:dyDescent="0.25">
      <c r="B13" s="21" t="s">
        <v>6</v>
      </c>
      <c r="C13" s="22"/>
      <c r="D13" s="22"/>
      <c r="E13" s="23"/>
      <c r="F13" s="24"/>
    </row>
    <row r="14" spans="2:6" x14ac:dyDescent="0.25">
      <c r="B14" s="25" t="s">
        <v>107</v>
      </c>
      <c r="C14" s="26" t="s">
        <v>9</v>
      </c>
      <c r="D14" s="26">
        <v>1</v>
      </c>
      <c r="E14" s="27">
        <v>1800</v>
      </c>
      <c r="F14" s="28">
        <f>D14*E14</f>
        <v>1800</v>
      </c>
    </row>
    <row r="15" spans="2:6" x14ac:dyDescent="0.25">
      <c r="B15" s="221" t="s">
        <v>203</v>
      </c>
      <c r="C15" s="29" t="s">
        <v>9</v>
      </c>
      <c r="D15" s="29">
        <v>1</v>
      </c>
      <c r="E15" s="30">
        <v>9000</v>
      </c>
      <c r="F15" s="31">
        <f>D15*E15</f>
        <v>9000</v>
      </c>
    </row>
    <row r="16" spans="2:6" x14ac:dyDescent="0.25">
      <c r="B16" s="32" t="s">
        <v>91</v>
      </c>
      <c r="C16" s="33" t="s">
        <v>9</v>
      </c>
      <c r="D16" s="33">
        <v>1</v>
      </c>
      <c r="E16" s="34">
        <v>1500</v>
      </c>
      <c r="F16" s="28">
        <f t="shared" ref="F16:F49" si="0">D16*E16</f>
        <v>1500</v>
      </c>
    </row>
    <row r="17" spans="2:10" x14ac:dyDescent="0.25">
      <c r="B17" s="32" t="s">
        <v>69</v>
      </c>
      <c r="C17" s="33" t="s">
        <v>9</v>
      </c>
      <c r="D17" s="33">
        <v>1</v>
      </c>
      <c r="E17" s="34">
        <v>1000</v>
      </c>
      <c r="F17" s="28">
        <f t="shared" si="0"/>
        <v>1000</v>
      </c>
    </row>
    <row r="18" spans="2:10" x14ac:dyDescent="0.25">
      <c r="B18" s="32" t="s">
        <v>13</v>
      </c>
      <c r="C18" s="33" t="s">
        <v>9</v>
      </c>
      <c r="D18" s="33">
        <v>2</v>
      </c>
      <c r="E18" s="34">
        <v>90</v>
      </c>
      <c r="F18" s="28">
        <f t="shared" si="0"/>
        <v>180</v>
      </c>
    </row>
    <row r="19" spans="2:10" x14ac:dyDescent="0.25">
      <c r="B19" s="32" t="s">
        <v>38</v>
      </c>
      <c r="C19" s="26" t="s">
        <v>9</v>
      </c>
      <c r="D19" s="33">
        <v>1</v>
      </c>
      <c r="E19" s="34">
        <v>300</v>
      </c>
      <c r="F19" s="28">
        <f t="shared" si="0"/>
        <v>300</v>
      </c>
    </row>
    <row r="20" spans="2:10" x14ac:dyDescent="0.25">
      <c r="B20" s="32" t="s">
        <v>108</v>
      </c>
      <c r="C20" s="33" t="s">
        <v>9</v>
      </c>
      <c r="D20" s="33">
        <v>1</v>
      </c>
      <c r="E20" s="34">
        <v>2500</v>
      </c>
      <c r="F20" s="28">
        <f t="shared" si="0"/>
        <v>2500</v>
      </c>
    </row>
    <row r="21" spans="2:10" x14ac:dyDescent="0.25">
      <c r="B21" s="32" t="s">
        <v>120</v>
      </c>
      <c r="C21" s="33" t="s">
        <v>9</v>
      </c>
      <c r="D21" s="33">
        <v>1</v>
      </c>
      <c r="E21" s="34">
        <v>1000</v>
      </c>
      <c r="F21" s="28">
        <f>D21*E21</f>
        <v>1000</v>
      </c>
    </row>
    <row r="22" spans="2:10" x14ac:dyDescent="0.25">
      <c r="B22" s="32" t="s">
        <v>92</v>
      </c>
      <c r="C22" s="33" t="s">
        <v>9</v>
      </c>
      <c r="D22" s="33">
        <v>1</v>
      </c>
      <c r="E22" s="34">
        <v>950</v>
      </c>
      <c r="F22" s="28">
        <f t="shared" si="0"/>
        <v>950</v>
      </c>
    </row>
    <row r="23" spans="2:10" x14ac:dyDescent="0.25">
      <c r="B23" s="32" t="s">
        <v>39</v>
      </c>
      <c r="C23" s="33" t="s">
        <v>9</v>
      </c>
      <c r="D23" s="33">
        <v>2</v>
      </c>
      <c r="E23" s="34">
        <v>150</v>
      </c>
      <c r="F23" s="28">
        <f t="shared" si="0"/>
        <v>300</v>
      </c>
    </row>
    <row r="24" spans="2:10" x14ac:dyDescent="0.25">
      <c r="B24" s="32" t="s">
        <v>8</v>
      </c>
      <c r="C24" s="33" t="s">
        <v>9</v>
      </c>
      <c r="D24" s="33">
        <v>2</v>
      </c>
      <c r="E24" s="34">
        <v>100</v>
      </c>
      <c r="F24" s="28">
        <f t="shared" si="0"/>
        <v>200</v>
      </c>
    </row>
    <row r="25" spans="2:10" ht="14.25" customHeight="1" x14ac:dyDescent="0.25">
      <c r="B25" s="32" t="s">
        <v>184</v>
      </c>
      <c r="C25" s="33" t="s">
        <v>10</v>
      </c>
      <c r="D25" s="33">
        <v>18</v>
      </c>
      <c r="E25" s="34">
        <v>36</v>
      </c>
      <c r="F25" s="28">
        <f t="shared" si="0"/>
        <v>648</v>
      </c>
    </row>
    <row r="26" spans="2:10" ht="13.5" customHeight="1" x14ac:dyDescent="0.25">
      <c r="B26" s="32" t="s">
        <v>183</v>
      </c>
      <c r="C26" s="26" t="s">
        <v>10</v>
      </c>
      <c r="D26" s="33">
        <v>12</v>
      </c>
      <c r="E26" s="34">
        <v>19</v>
      </c>
      <c r="F26" s="28">
        <f t="shared" si="0"/>
        <v>228</v>
      </c>
      <c r="G26" s="35"/>
      <c r="H26" s="16"/>
      <c r="I26" s="16"/>
      <c r="J26" s="16"/>
    </row>
    <row r="27" spans="2:10" ht="13.5" customHeight="1" x14ac:dyDescent="0.25">
      <c r="B27" s="32" t="s">
        <v>182</v>
      </c>
      <c r="C27" s="33" t="s">
        <v>10</v>
      </c>
      <c r="D27" s="33">
        <v>12</v>
      </c>
      <c r="E27" s="34">
        <v>13</v>
      </c>
      <c r="F27" s="28">
        <f t="shared" si="0"/>
        <v>156</v>
      </c>
      <c r="G27" s="35"/>
      <c r="H27" s="16"/>
      <c r="I27" s="16"/>
      <c r="J27" s="16"/>
    </row>
    <row r="28" spans="2:10" ht="13.5" customHeight="1" x14ac:dyDescent="0.25">
      <c r="B28" s="32" t="s">
        <v>185</v>
      </c>
      <c r="C28" s="33" t="s">
        <v>9</v>
      </c>
      <c r="D28" s="33">
        <v>2</v>
      </c>
      <c r="E28" s="34">
        <v>65</v>
      </c>
      <c r="F28" s="28">
        <f t="shared" si="0"/>
        <v>130</v>
      </c>
      <c r="G28" s="35"/>
      <c r="H28" s="16"/>
      <c r="I28" s="16"/>
      <c r="J28" s="16"/>
    </row>
    <row r="29" spans="2:10" ht="12.75" customHeight="1" x14ac:dyDescent="0.25">
      <c r="B29" s="32" t="s">
        <v>186</v>
      </c>
      <c r="C29" s="33" t="s">
        <v>9</v>
      </c>
      <c r="D29" s="33">
        <v>2</v>
      </c>
      <c r="E29" s="34">
        <v>55</v>
      </c>
      <c r="F29" s="28">
        <f t="shared" si="0"/>
        <v>110</v>
      </c>
      <c r="G29" s="35"/>
      <c r="H29" s="16"/>
      <c r="I29" s="16"/>
      <c r="J29" s="16"/>
    </row>
    <row r="30" spans="2:10" ht="13.5" customHeight="1" x14ac:dyDescent="0.25">
      <c r="B30" s="32" t="s">
        <v>93</v>
      </c>
      <c r="C30" s="33" t="s">
        <v>9</v>
      </c>
      <c r="D30" s="33">
        <v>2</v>
      </c>
      <c r="E30" s="34">
        <v>17</v>
      </c>
      <c r="F30" s="28">
        <f t="shared" si="0"/>
        <v>34</v>
      </c>
      <c r="G30" s="35"/>
      <c r="H30" s="16"/>
      <c r="I30" s="16"/>
      <c r="J30" s="16"/>
    </row>
    <row r="31" spans="2:10" ht="13.5" customHeight="1" x14ac:dyDescent="0.25">
      <c r="B31" s="32" t="s">
        <v>94</v>
      </c>
      <c r="C31" s="33" t="s">
        <v>9</v>
      </c>
      <c r="D31" s="33">
        <v>4</v>
      </c>
      <c r="E31" s="34">
        <v>15</v>
      </c>
      <c r="F31" s="28">
        <f t="shared" si="0"/>
        <v>60</v>
      </c>
      <c r="G31" s="35"/>
      <c r="H31" s="16"/>
      <c r="I31" s="16"/>
      <c r="J31" s="16"/>
    </row>
    <row r="32" spans="2:10" ht="13.5" customHeight="1" x14ac:dyDescent="0.25">
      <c r="B32" s="32" t="s">
        <v>95</v>
      </c>
      <c r="C32" s="33" t="s">
        <v>9</v>
      </c>
      <c r="D32" s="33">
        <v>3</v>
      </c>
      <c r="E32" s="34">
        <v>35</v>
      </c>
      <c r="F32" s="28">
        <f t="shared" si="0"/>
        <v>105</v>
      </c>
      <c r="G32" s="35"/>
      <c r="H32" s="16"/>
      <c r="I32" s="16"/>
      <c r="J32" s="16"/>
    </row>
    <row r="33" spans="2:10" ht="13.5" customHeight="1" x14ac:dyDescent="0.25">
      <c r="B33" s="32" t="s">
        <v>96</v>
      </c>
      <c r="C33" s="33" t="s">
        <v>9</v>
      </c>
      <c r="D33" s="33">
        <v>2</v>
      </c>
      <c r="E33" s="34">
        <v>35</v>
      </c>
      <c r="F33" s="28">
        <f t="shared" si="0"/>
        <v>70</v>
      </c>
      <c r="G33" s="35"/>
      <c r="H33" s="16"/>
      <c r="I33" s="16"/>
      <c r="J33" s="16"/>
    </row>
    <row r="34" spans="2:10" ht="12.75" customHeight="1" x14ac:dyDescent="0.25">
      <c r="B34" s="32" t="s">
        <v>97</v>
      </c>
      <c r="C34" s="33" t="s">
        <v>9</v>
      </c>
      <c r="D34" s="33">
        <v>2</v>
      </c>
      <c r="E34" s="34">
        <v>35</v>
      </c>
      <c r="F34" s="28">
        <f t="shared" si="0"/>
        <v>70</v>
      </c>
      <c r="G34" s="35"/>
      <c r="H34" s="16"/>
      <c r="I34" s="16"/>
      <c r="J34" s="16"/>
    </row>
    <row r="35" spans="2:10" ht="12" customHeight="1" x14ac:dyDescent="0.25">
      <c r="B35" s="32" t="s">
        <v>98</v>
      </c>
      <c r="C35" s="33" t="s">
        <v>9</v>
      </c>
      <c r="D35" s="33">
        <v>2</v>
      </c>
      <c r="E35" s="34">
        <v>12</v>
      </c>
      <c r="F35" s="28">
        <f t="shared" si="0"/>
        <v>24</v>
      </c>
      <c r="G35" s="35"/>
      <c r="H35" s="16"/>
      <c r="I35" s="16"/>
      <c r="J35" s="16"/>
    </row>
    <row r="36" spans="2:10" x14ac:dyDescent="0.25">
      <c r="B36" s="32" t="s">
        <v>99</v>
      </c>
      <c r="C36" s="33" t="s">
        <v>9</v>
      </c>
      <c r="D36" s="33">
        <v>1</v>
      </c>
      <c r="E36" s="34">
        <v>17</v>
      </c>
      <c r="F36" s="28">
        <f t="shared" si="0"/>
        <v>17</v>
      </c>
    </row>
    <row r="37" spans="2:10" x14ac:dyDescent="0.25">
      <c r="B37" s="32" t="s">
        <v>100</v>
      </c>
      <c r="C37" s="33" t="s">
        <v>9</v>
      </c>
      <c r="D37" s="33">
        <v>1</v>
      </c>
      <c r="E37" s="34">
        <v>20</v>
      </c>
      <c r="F37" s="28">
        <f t="shared" si="0"/>
        <v>20</v>
      </c>
    </row>
    <row r="38" spans="2:10" x14ac:dyDescent="0.25">
      <c r="B38" s="32" t="s">
        <v>187</v>
      </c>
      <c r="C38" s="33" t="s">
        <v>9</v>
      </c>
      <c r="D38" s="33">
        <v>2</v>
      </c>
      <c r="E38" s="34">
        <f>45+40</f>
        <v>85</v>
      </c>
      <c r="F38" s="28">
        <f t="shared" si="0"/>
        <v>170</v>
      </c>
    </row>
    <row r="39" spans="2:10" x14ac:dyDescent="0.25">
      <c r="B39" s="32" t="s">
        <v>101</v>
      </c>
      <c r="C39" s="33" t="s">
        <v>9</v>
      </c>
      <c r="D39" s="33">
        <v>2</v>
      </c>
      <c r="E39" s="34">
        <v>12</v>
      </c>
      <c r="F39" s="28">
        <f t="shared" si="0"/>
        <v>24</v>
      </c>
    </row>
    <row r="40" spans="2:10" x14ac:dyDescent="0.25">
      <c r="B40" s="32" t="s">
        <v>102</v>
      </c>
      <c r="C40" s="33" t="s">
        <v>9</v>
      </c>
      <c r="D40" s="33">
        <v>2</v>
      </c>
      <c r="E40" s="34">
        <v>15</v>
      </c>
      <c r="F40" s="28">
        <f t="shared" si="0"/>
        <v>30</v>
      </c>
    </row>
    <row r="41" spans="2:10" x14ac:dyDescent="0.25">
      <c r="B41" s="32" t="s">
        <v>103</v>
      </c>
      <c r="C41" s="33" t="s">
        <v>9</v>
      </c>
      <c r="D41" s="33">
        <v>4</v>
      </c>
      <c r="E41" s="34">
        <v>85</v>
      </c>
      <c r="F41" s="28">
        <f t="shared" si="0"/>
        <v>340</v>
      </c>
    </row>
    <row r="42" spans="2:10" x14ac:dyDescent="0.25">
      <c r="B42" s="32" t="s">
        <v>104</v>
      </c>
      <c r="C42" s="33" t="s">
        <v>9</v>
      </c>
      <c r="D42" s="33">
        <v>1</v>
      </c>
      <c r="E42" s="34">
        <v>15</v>
      </c>
      <c r="F42" s="28">
        <f t="shared" si="0"/>
        <v>15</v>
      </c>
    </row>
    <row r="43" spans="2:10" x14ac:dyDescent="0.25">
      <c r="B43" s="32" t="s">
        <v>188</v>
      </c>
      <c r="C43" s="33" t="s">
        <v>9</v>
      </c>
      <c r="D43" s="33">
        <v>2</v>
      </c>
      <c r="E43" s="34">
        <v>35</v>
      </c>
      <c r="F43" s="28">
        <f t="shared" si="0"/>
        <v>70</v>
      </c>
    </row>
    <row r="44" spans="2:10" x14ac:dyDescent="0.25">
      <c r="B44" s="32" t="s">
        <v>105</v>
      </c>
      <c r="C44" s="33" t="s">
        <v>9</v>
      </c>
      <c r="D44" s="33">
        <v>16</v>
      </c>
      <c r="E44" s="34">
        <v>13</v>
      </c>
      <c r="F44" s="28">
        <f t="shared" si="0"/>
        <v>208</v>
      </c>
    </row>
    <row r="45" spans="2:10" x14ac:dyDescent="0.25">
      <c r="B45" s="32" t="s">
        <v>189</v>
      </c>
      <c r="C45" s="33" t="s">
        <v>9</v>
      </c>
      <c r="D45" s="33">
        <v>2</v>
      </c>
      <c r="E45" s="34">
        <v>35</v>
      </c>
      <c r="F45" s="28">
        <f t="shared" si="0"/>
        <v>70</v>
      </c>
    </row>
    <row r="46" spans="2:10" x14ac:dyDescent="0.25">
      <c r="B46" s="32" t="s">
        <v>190</v>
      </c>
      <c r="C46" s="33" t="s">
        <v>9</v>
      </c>
      <c r="D46" s="33">
        <v>4</v>
      </c>
      <c r="E46" s="34">
        <v>70</v>
      </c>
      <c r="F46" s="28">
        <f t="shared" si="0"/>
        <v>280</v>
      </c>
    </row>
    <row r="47" spans="2:10" x14ac:dyDescent="0.25">
      <c r="B47" s="32" t="s">
        <v>106</v>
      </c>
      <c r="C47" s="33" t="s">
        <v>9</v>
      </c>
      <c r="D47" s="33">
        <v>4</v>
      </c>
      <c r="E47" s="34">
        <v>25</v>
      </c>
      <c r="F47" s="28">
        <f t="shared" si="0"/>
        <v>100</v>
      </c>
    </row>
    <row r="48" spans="2:10" x14ac:dyDescent="0.25">
      <c r="B48" s="32" t="s">
        <v>70</v>
      </c>
      <c r="C48" s="26" t="s">
        <v>12</v>
      </c>
      <c r="D48" s="33">
        <v>4</v>
      </c>
      <c r="E48" s="34">
        <v>95</v>
      </c>
      <c r="F48" s="28">
        <f t="shared" si="0"/>
        <v>380</v>
      </c>
    </row>
    <row r="49" spans="2:6" x14ac:dyDescent="0.25">
      <c r="B49" s="32" t="s">
        <v>73</v>
      </c>
      <c r="C49" s="33" t="s">
        <v>9</v>
      </c>
      <c r="D49" s="33">
        <v>1</v>
      </c>
      <c r="E49" s="34">
        <v>1000</v>
      </c>
      <c r="F49" s="28">
        <f t="shared" si="0"/>
        <v>1000</v>
      </c>
    </row>
    <row r="50" spans="2:6" x14ac:dyDescent="0.25">
      <c r="B50" s="158" t="s">
        <v>68</v>
      </c>
      <c r="C50" s="158"/>
      <c r="D50" s="158"/>
      <c r="E50" s="158"/>
      <c r="F50" s="37">
        <f>SUM(F14:F49)</f>
        <v>23089</v>
      </c>
    </row>
    <row r="51" spans="2:6" x14ac:dyDescent="0.25">
      <c r="B51" s="158" t="s">
        <v>134</v>
      </c>
      <c r="C51" s="158"/>
      <c r="D51" s="158"/>
      <c r="E51" s="158"/>
      <c r="F51" s="37">
        <f>+(F50)*0.2</f>
        <v>4617.8</v>
      </c>
    </row>
    <row r="52" spans="2:6" ht="17.25" customHeight="1" x14ac:dyDescent="0.25">
      <c r="B52" s="158" t="s">
        <v>17</v>
      </c>
      <c r="C52" s="158"/>
      <c r="D52" s="158"/>
      <c r="E52" s="158"/>
      <c r="F52" s="37">
        <f>+F51+F50</f>
        <v>27706.799999999999</v>
      </c>
    </row>
    <row r="53" spans="2:6" x14ac:dyDescent="0.25">
      <c r="B53" s="4"/>
      <c r="C53" s="4"/>
      <c r="D53" s="4"/>
      <c r="E53" s="4"/>
      <c r="F53" s="4"/>
    </row>
    <row r="54" spans="2:6" x14ac:dyDescent="0.25">
      <c r="B54" s="4"/>
      <c r="C54" s="4"/>
      <c r="D54" s="4"/>
      <c r="E54" s="4"/>
      <c r="F54" s="4"/>
    </row>
    <row r="55" spans="2:6" x14ac:dyDescent="0.25">
      <c r="B55" s="4"/>
      <c r="C55" s="4"/>
      <c r="D55" s="4"/>
      <c r="E55" s="4"/>
      <c r="F55" s="4"/>
    </row>
    <row r="56" spans="2:6" ht="16.5" customHeight="1" x14ac:dyDescent="0.25">
      <c r="B56" s="14" t="s">
        <v>21</v>
      </c>
      <c r="C56" s="4"/>
      <c r="D56" s="4"/>
      <c r="E56" s="4"/>
      <c r="F56" s="38" t="s">
        <v>53</v>
      </c>
    </row>
    <row r="67" spans="8:12" x14ac:dyDescent="0.25">
      <c r="H67" s="6"/>
    </row>
    <row r="68" spans="8:12" x14ac:dyDescent="0.25">
      <c r="H68" s="6"/>
    </row>
    <row r="70" spans="8:12" x14ac:dyDescent="0.25">
      <c r="H70" s="6"/>
    </row>
    <row r="73" spans="8:12" x14ac:dyDescent="0.25">
      <c r="H73" s="7"/>
    </row>
    <row r="74" spans="8:12" x14ac:dyDescent="0.25">
      <c r="H74" s="6"/>
    </row>
    <row r="77" spans="8:12" x14ac:dyDescent="0.25">
      <c r="H77" s="6"/>
      <c r="K77" s="6"/>
    </row>
    <row r="80" spans="8:12" x14ac:dyDescent="0.25">
      <c r="H80" s="7"/>
      <c r="I80" s="6"/>
      <c r="L80" s="6"/>
    </row>
    <row r="82" spans="7:12" x14ac:dyDescent="0.25">
      <c r="G82" s="7"/>
      <c r="I82" s="7"/>
      <c r="L82" s="7"/>
    </row>
    <row r="86" spans="7:12" ht="42" customHeight="1" x14ac:dyDescent="0.25"/>
  </sheetData>
  <mergeCells count="3">
    <mergeCell ref="B50:E50"/>
    <mergeCell ref="B51:E51"/>
    <mergeCell ref="B52:E5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7:E46"/>
  <sheetViews>
    <sheetView view="pageBreakPreview" zoomScaleNormal="100" zoomScaleSheetLayoutView="100" workbookViewId="0">
      <selection activeCell="G19" sqref="G19"/>
    </sheetView>
  </sheetViews>
  <sheetFormatPr defaultColWidth="11.5546875" defaultRowHeight="13.2" x14ac:dyDescent="0.25"/>
  <cols>
    <col min="1" max="1" width="41.109375" style="2" customWidth="1"/>
    <col min="2" max="2" width="8.33203125" style="2" customWidth="1"/>
    <col min="3" max="3" width="10.109375" style="2" customWidth="1"/>
    <col min="4" max="4" width="11.5546875" style="2" customWidth="1"/>
    <col min="5" max="5" width="17.109375" style="2" customWidth="1"/>
    <col min="6" max="16384" width="11.5546875" style="2"/>
  </cols>
  <sheetData>
    <row r="7" spans="1:5" x14ac:dyDescent="0.25">
      <c r="A7" s="11">
        <v>44560</v>
      </c>
      <c r="B7" s="4"/>
      <c r="C7" s="4"/>
      <c r="D7" s="12" t="s">
        <v>84</v>
      </c>
      <c r="E7" s="13"/>
    </row>
    <row r="8" spans="1:5" x14ac:dyDescent="0.25">
      <c r="A8" s="14" t="s">
        <v>83</v>
      </c>
      <c r="B8" s="4"/>
      <c r="C8" s="4"/>
      <c r="D8" s="15" t="s">
        <v>85</v>
      </c>
      <c r="E8" s="5"/>
    </row>
    <row r="9" spans="1:5" x14ac:dyDescent="0.25">
      <c r="A9" s="14" t="s">
        <v>181</v>
      </c>
      <c r="B9" s="4"/>
      <c r="C9" s="4"/>
      <c r="D9" s="15" t="s">
        <v>86</v>
      </c>
      <c r="E9" s="5"/>
    </row>
    <row r="10" spans="1:5" x14ac:dyDescent="0.25">
      <c r="A10" s="14" t="s">
        <v>0</v>
      </c>
      <c r="B10" s="4"/>
      <c r="C10" s="5"/>
      <c r="D10" s="16" t="s">
        <v>87</v>
      </c>
      <c r="E10" s="5"/>
    </row>
    <row r="11" spans="1:5" x14ac:dyDescent="0.25">
      <c r="A11" s="14" t="s">
        <v>7</v>
      </c>
      <c r="B11" s="4"/>
      <c r="C11" s="4"/>
      <c r="D11" s="17" t="s">
        <v>88</v>
      </c>
      <c r="E11" s="18"/>
    </row>
    <row r="12" spans="1:5" x14ac:dyDescent="0.25">
      <c r="A12" s="14"/>
      <c r="B12" s="4"/>
      <c r="C12" s="4"/>
      <c r="D12" s="16"/>
      <c r="E12" s="16"/>
    </row>
    <row r="13" spans="1:5" x14ac:dyDescent="0.25">
      <c r="A13" s="4"/>
      <c r="B13" s="4"/>
      <c r="C13" s="4"/>
      <c r="D13" s="16"/>
      <c r="E13" s="1"/>
    </row>
    <row r="14" spans="1:5" x14ac:dyDescent="0.25">
      <c r="A14" s="19" t="s">
        <v>1</v>
      </c>
      <c r="B14" s="46" t="s">
        <v>2</v>
      </c>
      <c r="C14" s="46" t="s">
        <v>3</v>
      </c>
      <c r="D14" s="46" t="s">
        <v>4</v>
      </c>
      <c r="E14" s="46" t="s">
        <v>5</v>
      </c>
    </row>
    <row r="15" spans="1:5" x14ac:dyDescent="0.25">
      <c r="A15" s="87" t="s">
        <v>15</v>
      </c>
      <c r="B15" s="26"/>
      <c r="C15" s="26"/>
      <c r="D15" s="27"/>
      <c r="E15" s="88"/>
    </row>
    <row r="16" spans="1:5" x14ac:dyDescent="0.25">
      <c r="A16" s="32" t="s">
        <v>191</v>
      </c>
      <c r="B16" s="33" t="s">
        <v>10</v>
      </c>
      <c r="C16" s="33">
        <v>168</v>
      </c>
      <c r="D16" s="34">
        <v>36</v>
      </c>
      <c r="E16" s="89">
        <f t="shared" ref="E16:E21" si="0">C16*D16</f>
        <v>6048</v>
      </c>
    </row>
    <row r="17" spans="1:5" x14ac:dyDescent="0.25">
      <c r="A17" s="32" t="s">
        <v>192</v>
      </c>
      <c r="B17" s="26" t="s">
        <v>10</v>
      </c>
      <c r="C17" s="26">
        <v>102</v>
      </c>
      <c r="D17" s="27">
        <v>20</v>
      </c>
      <c r="E17" s="89">
        <f t="shared" si="0"/>
        <v>2040</v>
      </c>
    </row>
    <row r="18" spans="1:5" x14ac:dyDescent="0.25">
      <c r="A18" s="32" t="s">
        <v>193</v>
      </c>
      <c r="B18" s="26" t="s">
        <v>10</v>
      </c>
      <c r="C18" s="26">
        <v>168</v>
      </c>
      <c r="D18" s="27">
        <v>14</v>
      </c>
      <c r="E18" s="89">
        <f t="shared" si="0"/>
        <v>2352</v>
      </c>
    </row>
    <row r="19" spans="1:5" x14ac:dyDescent="0.25">
      <c r="A19" s="32" t="s">
        <v>114</v>
      </c>
      <c r="B19" s="26" t="s">
        <v>9</v>
      </c>
      <c r="C19" s="26">
        <v>4</v>
      </c>
      <c r="D19" s="27">
        <v>150</v>
      </c>
      <c r="E19" s="89">
        <f t="shared" si="0"/>
        <v>600</v>
      </c>
    </row>
    <row r="20" spans="1:5" x14ac:dyDescent="0.25">
      <c r="A20" s="32" t="s">
        <v>26</v>
      </c>
      <c r="B20" s="26" t="s">
        <v>9</v>
      </c>
      <c r="C20" s="26">
        <v>4</v>
      </c>
      <c r="D20" s="27">
        <v>30</v>
      </c>
      <c r="E20" s="89">
        <f t="shared" si="0"/>
        <v>120</v>
      </c>
    </row>
    <row r="21" spans="1:5" x14ac:dyDescent="0.25">
      <c r="A21" s="32" t="s">
        <v>72</v>
      </c>
      <c r="B21" s="26" t="s">
        <v>12</v>
      </c>
      <c r="C21" s="26">
        <v>25</v>
      </c>
      <c r="D21" s="27">
        <v>90</v>
      </c>
      <c r="E21" s="89">
        <f t="shared" si="0"/>
        <v>2250</v>
      </c>
    </row>
    <row r="22" spans="1:5" x14ac:dyDescent="0.25">
      <c r="A22" s="163" t="s">
        <v>50</v>
      </c>
      <c r="B22" s="164"/>
      <c r="C22" s="164"/>
      <c r="D22" s="164"/>
      <c r="E22" s="165"/>
    </row>
    <row r="23" spans="1:5" x14ac:dyDescent="0.25">
      <c r="A23" s="32" t="s">
        <v>194</v>
      </c>
      <c r="B23" s="26" t="s">
        <v>10</v>
      </c>
      <c r="C23" s="26">
        <v>24</v>
      </c>
      <c r="D23" s="27">
        <v>27</v>
      </c>
      <c r="E23" s="88">
        <f>+C23*D23</f>
        <v>648</v>
      </c>
    </row>
    <row r="24" spans="1:5" x14ac:dyDescent="0.25">
      <c r="A24" s="32" t="s">
        <v>25</v>
      </c>
      <c r="B24" s="26" t="s">
        <v>14</v>
      </c>
      <c r="C24" s="90">
        <v>2.95</v>
      </c>
      <c r="D24" s="27">
        <v>500</v>
      </c>
      <c r="E24" s="91">
        <f>+C24*D24</f>
        <v>1475</v>
      </c>
    </row>
    <row r="25" spans="1:5" x14ac:dyDescent="0.25">
      <c r="A25" s="32" t="s">
        <v>73</v>
      </c>
      <c r="B25" s="26" t="s">
        <v>14</v>
      </c>
      <c r="C25" s="92">
        <v>2.95</v>
      </c>
      <c r="D25" s="27">
        <v>1000</v>
      </c>
      <c r="E25" s="88">
        <f>+C25*D25</f>
        <v>2950</v>
      </c>
    </row>
    <row r="26" spans="1:5" x14ac:dyDescent="0.25">
      <c r="A26" s="158" t="s">
        <v>71</v>
      </c>
      <c r="B26" s="158"/>
      <c r="C26" s="158"/>
      <c r="D26" s="158"/>
      <c r="E26" s="93">
        <f>SUM(E16:E25)</f>
        <v>18483</v>
      </c>
    </row>
    <row r="27" spans="1:5" x14ac:dyDescent="0.25">
      <c r="A27" s="158" t="s">
        <v>139</v>
      </c>
      <c r="B27" s="158"/>
      <c r="C27" s="158"/>
      <c r="D27" s="158"/>
      <c r="E27" s="94">
        <f>+(E26)*0.2</f>
        <v>3696.6000000000004</v>
      </c>
    </row>
    <row r="28" spans="1:5" x14ac:dyDescent="0.25">
      <c r="A28" s="158" t="s">
        <v>18</v>
      </c>
      <c r="B28" s="158"/>
      <c r="C28" s="158"/>
      <c r="D28" s="158"/>
      <c r="E28" s="94">
        <f>+E27+E26</f>
        <v>22179.599999999999</v>
      </c>
    </row>
    <row r="29" spans="1:5" x14ac:dyDescent="0.25">
      <c r="A29" s="95" t="s">
        <v>16</v>
      </c>
      <c r="B29" s="95"/>
      <c r="C29" s="95"/>
      <c r="D29" s="95"/>
      <c r="E29" s="96"/>
    </row>
    <row r="30" spans="1:5" x14ac:dyDescent="0.25">
      <c r="A30" s="32" t="s">
        <v>89</v>
      </c>
      <c r="B30" s="61" t="s">
        <v>9</v>
      </c>
      <c r="C30" s="61">
        <v>3000</v>
      </c>
      <c r="D30" s="62">
        <v>2</v>
      </c>
      <c r="E30" s="97">
        <f t="shared" ref="E30:E35" si="1">C30*D30</f>
        <v>6000</v>
      </c>
    </row>
    <row r="31" spans="1:5" x14ac:dyDescent="0.25">
      <c r="A31" s="32" t="s">
        <v>195</v>
      </c>
      <c r="B31" s="61" t="s">
        <v>10</v>
      </c>
      <c r="C31" s="61">
        <v>9600</v>
      </c>
      <c r="D31" s="62">
        <v>1.8</v>
      </c>
      <c r="E31" s="97">
        <f t="shared" si="1"/>
        <v>17280</v>
      </c>
    </row>
    <row r="32" spans="1:5" x14ac:dyDescent="0.25">
      <c r="A32" s="32" t="s">
        <v>44</v>
      </c>
      <c r="B32" s="61" t="s">
        <v>9</v>
      </c>
      <c r="C32" s="61">
        <v>200</v>
      </c>
      <c r="D32" s="62">
        <v>1</v>
      </c>
      <c r="E32" s="97">
        <f t="shared" si="1"/>
        <v>200</v>
      </c>
    </row>
    <row r="33" spans="1:5" x14ac:dyDescent="0.25">
      <c r="A33" s="32" t="s">
        <v>43</v>
      </c>
      <c r="B33" s="61" t="s">
        <v>9</v>
      </c>
      <c r="C33" s="61">
        <v>200</v>
      </c>
      <c r="D33" s="62">
        <v>1</v>
      </c>
      <c r="E33" s="97">
        <f t="shared" si="1"/>
        <v>200</v>
      </c>
    </row>
    <row r="34" spans="1:5" x14ac:dyDescent="0.25">
      <c r="A34" s="98" t="s">
        <v>51</v>
      </c>
      <c r="B34" s="29" t="s">
        <v>9</v>
      </c>
      <c r="C34" s="61">
        <v>200</v>
      </c>
      <c r="D34" s="99">
        <v>1.9</v>
      </c>
      <c r="E34" s="97">
        <f t="shared" si="1"/>
        <v>380</v>
      </c>
    </row>
    <row r="35" spans="1:5" x14ac:dyDescent="0.25">
      <c r="A35" s="98" t="s">
        <v>75</v>
      </c>
      <c r="B35" s="29" t="s">
        <v>11</v>
      </c>
      <c r="C35" s="100">
        <v>2.95</v>
      </c>
      <c r="D35" s="99">
        <v>1000</v>
      </c>
      <c r="E35" s="97">
        <f t="shared" si="1"/>
        <v>2950</v>
      </c>
    </row>
    <row r="36" spans="1:5" x14ac:dyDescent="0.25">
      <c r="A36" s="158" t="s">
        <v>74</v>
      </c>
      <c r="B36" s="158"/>
      <c r="C36" s="158"/>
      <c r="D36" s="158"/>
      <c r="E36" s="101">
        <f>SUM(E30:E35)</f>
        <v>27010</v>
      </c>
    </row>
    <row r="37" spans="1:5" x14ac:dyDescent="0.25">
      <c r="A37" s="158" t="s">
        <v>140</v>
      </c>
      <c r="B37" s="158"/>
      <c r="C37" s="158"/>
      <c r="D37" s="158"/>
      <c r="E37" s="101">
        <f>+E36*0.2</f>
        <v>5402</v>
      </c>
    </row>
    <row r="38" spans="1:5" x14ac:dyDescent="0.25">
      <c r="A38" s="158" t="s">
        <v>19</v>
      </c>
      <c r="B38" s="158"/>
      <c r="C38" s="158"/>
      <c r="D38" s="158"/>
      <c r="E38" s="101">
        <f>+E37+E36</f>
        <v>32412</v>
      </c>
    </row>
    <row r="39" spans="1:5" x14ac:dyDescent="0.25">
      <c r="A39" s="159"/>
      <c r="B39" s="160"/>
      <c r="C39" s="160"/>
      <c r="D39" s="160"/>
      <c r="E39" s="161"/>
    </row>
    <row r="40" spans="1:5" x14ac:dyDescent="0.25">
      <c r="A40" s="158" t="s">
        <v>52</v>
      </c>
      <c r="B40" s="158"/>
      <c r="C40" s="158"/>
      <c r="D40" s="158"/>
      <c r="E40" s="101">
        <f>+E36+E26+STATION!F50</f>
        <v>68582</v>
      </c>
    </row>
    <row r="41" spans="1:5" x14ac:dyDescent="0.25">
      <c r="A41" s="158" t="s">
        <v>141</v>
      </c>
      <c r="B41" s="158"/>
      <c r="C41" s="158"/>
      <c r="D41" s="158"/>
      <c r="E41" s="101">
        <f>+E37+E27+STATION!F51</f>
        <v>13716.400000000001</v>
      </c>
    </row>
    <row r="42" spans="1:5" x14ac:dyDescent="0.25">
      <c r="A42" s="158" t="s">
        <v>20</v>
      </c>
      <c r="B42" s="158"/>
      <c r="C42" s="158"/>
      <c r="D42" s="158"/>
      <c r="E42" s="101">
        <f>+E41+E40</f>
        <v>82298.399999999994</v>
      </c>
    </row>
    <row r="43" spans="1:5" x14ac:dyDescent="0.25">
      <c r="A43" s="4"/>
      <c r="B43" s="4"/>
      <c r="C43" s="4"/>
      <c r="D43" s="4"/>
      <c r="E43" s="4"/>
    </row>
    <row r="44" spans="1:5" ht="24.75" customHeight="1" x14ac:dyDescent="0.25">
      <c r="A44" s="162" t="s">
        <v>121</v>
      </c>
      <c r="B44" s="162"/>
      <c r="C44" s="162"/>
      <c r="D44" s="162"/>
      <c r="E44" s="162"/>
    </row>
    <row r="46" spans="1:5" x14ac:dyDescent="0.25">
      <c r="A46" s="14" t="s">
        <v>21</v>
      </c>
      <c r="E46" s="102" t="s">
        <v>28</v>
      </c>
    </row>
  </sheetData>
  <mergeCells count="12">
    <mergeCell ref="A22:E22"/>
    <mergeCell ref="A26:D26"/>
    <mergeCell ref="A27:D27"/>
    <mergeCell ref="A28:D28"/>
    <mergeCell ref="A36:D36"/>
    <mergeCell ref="A39:E39"/>
    <mergeCell ref="A44:E44"/>
    <mergeCell ref="A37:D37"/>
    <mergeCell ref="A38:D38"/>
    <mergeCell ref="A40:D40"/>
    <mergeCell ref="A41:D41"/>
    <mergeCell ref="A42:D4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2:E52"/>
  <sheetViews>
    <sheetView view="pageBreakPreview" topLeftCell="A21" zoomScaleNormal="100" zoomScaleSheetLayoutView="100" workbookViewId="0">
      <selection activeCell="G44" sqref="G44"/>
    </sheetView>
  </sheetViews>
  <sheetFormatPr defaultColWidth="11.5546875" defaultRowHeight="13.2" x14ac:dyDescent="0.25"/>
  <cols>
    <col min="1" max="1" width="38" style="2" customWidth="1"/>
    <col min="2" max="2" width="10.88671875" style="2" customWidth="1"/>
    <col min="3" max="3" width="10.44140625" style="2" customWidth="1"/>
    <col min="4" max="4" width="11" style="2" customWidth="1"/>
    <col min="5" max="5" width="18.44140625" style="2" customWidth="1"/>
    <col min="6" max="16384" width="11.5546875" style="2"/>
  </cols>
  <sheetData>
    <row r="12" spans="1:5" x14ac:dyDescent="0.25">
      <c r="A12" s="11">
        <v>44560</v>
      </c>
      <c r="B12" s="4"/>
      <c r="C12" s="4"/>
      <c r="D12" s="12" t="s">
        <v>84</v>
      </c>
      <c r="E12" s="13"/>
    </row>
    <row r="13" spans="1:5" x14ac:dyDescent="0.25">
      <c r="A13" s="14" t="s">
        <v>83</v>
      </c>
      <c r="B13" s="4"/>
      <c r="C13" s="4"/>
      <c r="D13" s="15" t="s">
        <v>85</v>
      </c>
      <c r="E13" s="5"/>
    </row>
    <row r="14" spans="1:5" x14ac:dyDescent="0.25">
      <c r="A14" s="14" t="s">
        <v>181</v>
      </c>
      <c r="B14" s="4"/>
      <c r="C14" s="4"/>
      <c r="D14" s="15" t="s">
        <v>86</v>
      </c>
      <c r="E14" s="5"/>
    </row>
    <row r="15" spans="1:5" x14ac:dyDescent="0.25">
      <c r="A15" s="14" t="s">
        <v>0</v>
      </c>
      <c r="B15" s="4"/>
      <c r="C15" s="5"/>
      <c r="D15" s="16" t="s">
        <v>87</v>
      </c>
      <c r="E15" s="5"/>
    </row>
    <row r="16" spans="1:5" x14ac:dyDescent="0.25">
      <c r="A16" s="14" t="s">
        <v>7</v>
      </c>
      <c r="B16" s="4"/>
      <c r="C16" s="4"/>
      <c r="D16" s="17" t="s">
        <v>88</v>
      </c>
      <c r="E16" s="18"/>
    </row>
    <row r="25" spans="1:5" x14ac:dyDescent="0.25">
      <c r="A25" s="55" t="s">
        <v>80</v>
      </c>
      <c r="C25" s="8"/>
      <c r="D25" s="8"/>
      <c r="E25" s="8"/>
    </row>
    <row r="26" spans="1:5" x14ac:dyDescent="0.25">
      <c r="A26" s="55" t="s">
        <v>81</v>
      </c>
      <c r="C26" s="8"/>
      <c r="D26" s="8"/>
      <c r="E26" s="8"/>
    </row>
    <row r="27" spans="1:5" x14ac:dyDescent="0.25">
      <c r="A27" s="55" t="s">
        <v>79</v>
      </c>
      <c r="C27" s="8"/>
      <c r="D27" s="8"/>
      <c r="E27" s="8"/>
    </row>
    <row r="28" spans="1:5" x14ac:dyDescent="0.25">
      <c r="A28" s="55" t="s">
        <v>143</v>
      </c>
      <c r="C28" s="8"/>
      <c r="D28" s="8"/>
      <c r="E28" s="8"/>
    </row>
    <row r="29" spans="1:5" x14ac:dyDescent="0.25">
      <c r="A29" s="55" t="s">
        <v>82</v>
      </c>
      <c r="C29" s="8"/>
      <c r="D29" s="8"/>
      <c r="E29" s="8"/>
    </row>
    <row r="35" spans="1:5" x14ac:dyDescent="0.25">
      <c r="A35" s="36" t="s">
        <v>1</v>
      </c>
      <c r="B35" s="46" t="s">
        <v>2</v>
      </c>
      <c r="C35" s="20" t="s">
        <v>3</v>
      </c>
      <c r="D35" s="20" t="s">
        <v>23</v>
      </c>
      <c r="E35" s="20" t="s">
        <v>29</v>
      </c>
    </row>
    <row r="36" spans="1:5" ht="12.75" customHeight="1" x14ac:dyDescent="0.25">
      <c r="A36" s="169" t="s">
        <v>30</v>
      </c>
      <c r="B36" s="171" t="s">
        <v>135</v>
      </c>
      <c r="C36" s="173">
        <v>760</v>
      </c>
      <c r="D36" s="173">
        <v>40</v>
      </c>
      <c r="E36" s="173">
        <f>C36*D36</f>
        <v>30400</v>
      </c>
    </row>
    <row r="37" spans="1:5" ht="19.5" customHeight="1" x14ac:dyDescent="0.25">
      <c r="A37" s="170"/>
      <c r="B37" s="172"/>
      <c r="C37" s="174"/>
      <c r="D37" s="174"/>
      <c r="E37" s="174"/>
    </row>
    <row r="38" spans="1:5" ht="15" customHeight="1" x14ac:dyDescent="0.25">
      <c r="A38" s="25" t="s">
        <v>109</v>
      </c>
      <c r="B38" s="33" t="s">
        <v>110</v>
      </c>
      <c r="C38" s="85">
        <v>88</v>
      </c>
      <c r="D38" s="85">
        <v>70</v>
      </c>
      <c r="E38" s="85">
        <f>+C38*D38</f>
        <v>6160</v>
      </c>
    </row>
    <row r="39" spans="1:5" ht="15" customHeight="1" x14ac:dyDescent="0.25">
      <c r="A39" s="25" t="s">
        <v>111</v>
      </c>
      <c r="B39" s="33" t="s">
        <v>112</v>
      </c>
      <c r="C39" s="85">
        <v>32</v>
      </c>
      <c r="D39" s="85">
        <v>75</v>
      </c>
      <c r="E39" s="85">
        <f>+C39*D39</f>
        <v>2400</v>
      </c>
    </row>
    <row r="40" spans="1:5" x14ac:dyDescent="0.25">
      <c r="A40" s="86" t="s">
        <v>113</v>
      </c>
      <c r="B40" s="53" t="s">
        <v>27</v>
      </c>
      <c r="C40" s="54">
        <v>1</v>
      </c>
      <c r="D40" s="54">
        <v>1000</v>
      </c>
      <c r="E40" s="85">
        <f>+C40*D40</f>
        <v>1000</v>
      </c>
    </row>
    <row r="41" spans="1:5" x14ac:dyDescent="0.25">
      <c r="A41" s="166" t="s">
        <v>31</v>
      </c>
      <c r="B41" s="167"/>
      <c r="C41" s="167"/>
      <c r="D41" s="168"/>
      <c r="E41" s="45">
        <f>SUM(E36:E40)</f>
        <v>39960</v>
      </c>
    </row>
    <row r="42" spans="1:5" x14ac:dyDescent="0.25">
      <c r="A42" s="166" t="s">
        <v>136</v>
      </c>
      <c r="B42" s="167"/>
      <c r="C42" s="167"/>
      <c r="D42" s="168"/>
      <c r="E42" s="45">
        <f>+(+E36+E40)*0.2</f>
        <v>6280</v>
      </c>
    </row>
    <row r="43" spans="1:5" x14ac:dyDescent="0.25">
      <c r="A43" s="158" t="s">
        <v>32</v>
      </c>
      <c r="B43" s="158"/>
      <c r="C43" s="158"/>
      <c r="D43" s="158"/>
      <c r="E43" s="45">
        <f>+E42+E41</f>
        <v>46240</v>
      </c>
    </row>
    <row r="48" spans="1:5" ht="12.75" customHeight="1" x14ac:dyDescent="0.25">
      <c r="A48" s="162" t="s">
        <v>122</v>
      </c>
      <c r="B48" s="162"/>
      <c r="C48" s="162"/>
      <c r="D48" s="162"/>
      <c r="E48" s="162"/>
    </row>
    <row r="49" spans="1:5" x14ac:dyDescent="0.25">
      <c r="A49" s="162"/>
      <c r="B49" s="162"/>
      <c r="C49" s="162"/>
      <c r="D49" s="162"/>
      <c r="E49" s="162"/>
    </row>
    <row r="50" spans="1:5" x14ac:dyDescent="0.25">
      <c r="D50" s="6"/>
    </row>
    <row r="52" spans="1:5" x14ac:dyDescent="0.25">
      <c r="A52" s="52" t="s">
        <v>21</v>
      </c>
    </row>
  </sheetData>
  <mergeCells count="9">
    <mergeCell ref="A43:D43"/>
    <mergeCell ref="A41:D41"/>
    <mergeCell ref="A42:D42"/>
    <mergeCell ref="A48:E49"/>
    <mergeCell ref="A36:A37"/>
    <mergeCell ref="B36:B37"/>
    <mergeCell ref="C36:C37"/>
    <mergeCell ref="D36:D37"/>
    <mergeCell ref="E36:E3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1:H53"/>
  <sheetViews>
    <sheetView view="pageBreakPreview" topLeftCell="A21" zoomScaleNormal="100" zoomScaleSheetLayoutView="100" workbookViewId="0">
      <selection activeCell="A51" sqref="A51:E51"/>
    </sheetView>
  </sheetViews>
  <sheetFormatPr defaultColWidth="11.5546875" defaultRowHeight="13.2" x14ac:dyDescent="0.25"/>
  <cols>
    <col min="1" max="1" width="39.109375" style="2" customWidth="1"/>
    <col min="2" max="2" width="9.5546875" style="2" customWidth="1"/>
    <col min="3" max="3" width="10" style="2" customWidth="1"/>
    <col min="4" max="4" width="10.33203125" style="2" customWidth="1"/>
    <col min="5" max="5" width="19" style="2" customWidth="1"/>
    <col min="6" max="16384" width="11.5546875" style="2"/>
  </cols>
  <sheetData>
    <row r="11" spans="1:5" x14ac:dyDescent="0.25">
      <c r="A11" s="11">
        <v>44560</v>
      </c>
      <c r="B11" s="4"/>
      <c r="C11" s="4"/>
      <c r="D11" s="12" t="s">
        <v>84</v>
      </c>
      <c r="E11" s="13"/>
    </row>
    <row r="12" spans="1:5" x14ac:dyDescent="0.25">
      <c r="A12" s="14" t="s">
        <v>83</v>
      </c>
      <c r="B12" s="4"/>
      <c r="C12" s="4"/>
      <c r="D12" s="15" t="s">
        <v>85</v>
      </c>
      <c r="E12" s="5"/>
    </row>
    <row r="13" spans="1:5" x14ac:dyDescent="0.25">
      <c r="A13" s="14" t="s">
        <v>181</v>
      </c>
      <c r="B13" s="4"/>
      <c r="C13" s="4"/>
      <c r="D13" s="15" t="s">
        <v>86</v>
      </c>
      <c r="E13" s="5"/>
    </row>
    <row r="14" spans="1:5" x14ac:dyDescent="0.25">
      <c r="A14" s="14" t="s">
        <v>0</v>
      </c>
      <c r="B14" s="4"/>
      <c r="C14" s="5"/>
      <c r="D14" s="16" t="s">
        <v>87</v>
      </c>
      <c r="E14" s="5"/>
    </row>
    <row r="15" spans="1:5" x14ac:dyDescent="0.25">
      <c r="A15" s="14" t="s">
        <v>7</v>
      </c>
      <c r="B15" s="4"/>
      <c r="C15" s="4"/>
      <c r="D15" s="17" t="s">
        <v>88</v>
      </c>
      <c r="E15" s="18"/>
    </row>
    <row r="20" spans="1:8" x14ac:dyDescent="0.25">
      <c r="A20" s="69" t="s">
        <v>1</v>
      </c>
      <c r="B20" s="69" t="s">
        <v>3</v>
      </c>
      <c r="C20" s="69" t="s">
        <v>22</v>
      </c>
      <c r="D20" s="69" t="s">
        <v>23</v>
      </c>
      <c r="E20" s="69" t="s">
        <v>24</v>
      </c>
    </row>
    <row r="21" spans="1:8" x14ac:dyDescent="0.25">
      <c r="A21" s="70"/>
      <c r="B21" s="70"/>
      <c r="C21" s="70"/>
      <c r="D21" s="70"/>
      <c r="E21" s="70"/>
      <c r="H21" s="2">
        <v>7.5</v>
      </c>
    </row>
    <row r="22" spans="1:8" x14ac:dyDescent="0.25">
      <c r="A22" s="71" t="s">
        <v>54</v>
      </c>
      <c r="B22" s="72">
        <v>1</v>
      </c>
      <c r="C22" s="72" t="s">
        <v>9</v>
      </c>
      <c r="D22" s="73">
        <v>15000</v>
      </c>
      <c r="E22" s="74">
        <f>+D22*B22</f>
        <v>15000</v>
      </c>
      <c r="H22" s="2">
        <f>H21*2000</f>
        <v>15000</v>
      </c>
    </row>
    <row r="23" spans="1:8" x14ac:dyDescent="0.25">
      <c r="A23" s="71" t="s">
        <v>57</v>
      </c>
      <c r="B23" s="72"/>
      <c r="C23" s="72"/>
      <c r="D23" s="73"/>
      <c r="E23" s="74"/>
      <c r="H23" s="2">
        <f>H21*600</f>
        <v>4500</v>
      </c>
    </row>
    <row r="24" spans="1:8" x14ac:dyDescent="0.25">
      <c r="A24" s="75" t="s">
        <v>130</v>
      </c>
      <c r="B24" s="72"/>
      <c r="C24" s="72"/>
      <c r="D24" s="73"/>
      <c r="E24" s="74"/>
    </row>
    <row r="25" spans="1:8" ht="15.6" x14ac:dyDescent="0.25">
      <c r="A25" s="71" t="s">
        <v>142</v>
      </c>
      <c r="B25" s="76"/>
      <c r="C25" s="76"/>
      <c r="D25" s="76"/>
      <c r="E25" s="76"/>
    </row>
    <row r="26" spans="1:8" x14ac:dyDescent="0.25">
      <c r="A26" s="64" t="s">
        <v>196</v>
      </c>
      <c r="B26" s="77"/>
      <c r="C26" s="77"/>
      <c r="D26" s="77"/>
      <c r="E26" s="77"/>
    </row>
    <row r="27" spans="1:8" x14ac:dyDescent="0.25">
      <c r="A27" s="71" t="s">
        <v>131</v>
      </c>
      <c r="B27" s="76"/>
      <c r="C27" s="76"/>
      <c r="D27" s="76"/>
      <c r="E27" s="76"/>
    </row>
    <row r="28" spans="1:8" x14ac:dyDescent="0.25">
      <c r="A28" s="64"/>
      <c r="B28" s="77"/>
      <c r="C28" s="77"/>
      <c r="D28" s="77"/>
      <c r="E28" s="77"/>
    </row>
    <row r="29" spans="1:8" x14ac:dyDescent="0.25">
      <c r="A29" s="64"/>
      <c r="B29" s="77"/>
      <c r="C29" s="77"/>
      <c r="D29" s="77"/>
      <c r="E29" s="77"/>
    </row>
    <row r="30" spans="1:8" x14ac:dyDescent="0.25">
      <c r="A30" s="64"/>
      <c r="B30" s="77"/>
      <c r="C30" s="77"/>
      <c r="D30" s="77"/>
      <c r="E30" s="77"/>
    </row>
    <row r="31" spans="1:8" x14ac:dyDescent="0.25">
      <c r="A31" s="64" t="s">
        <v>47</v>
      </c>
      <c r="B31" s="72">
        <v>1</v>
      </c>
      <c r="C31" s="72" t="s">
        <v>9</v>
      </c>
      <c r="D31" s="73">
        <f>250+200</f>
        <v>450</v>
      </c>
      <c r="E31" s="74">
        <f t="shared" ref="E31:E39" si="0">+D31*B31</f>
        <v>450</v>
      </c>
    </row>
    <row r="32" spans="1:8" x14ac:dyDescent="0.25">
      <c r="A32" s="64" t="s">
        <v>48</v>
      </c>
      <c r="B32" s="72">
        <v>3</v>
      </c>
      <c r="C32" s="72" t="s">
        <v>9</v>
      </c>
      <c r="D32" s="73">
        <f>50+100</f>
        <v>150</v>
      </c>
      <c r="E32" s="74">
        <f t="shared" si="0"/>
        <v>450</v>
      </c>
    </row>
    <row r="33" spans="1:6" x14ac:dyDescent="0.25">
      <c r="A33" s="64" t="s">
        <v>49</v>
      </c>
      <c r="B33" s="72">
        <v>1</v>
      </c>
      <c r="C33" s="72" t="s">
        <v>9</v>
      </c>
      <c r="D33" s="73">
        <f>300+400</f>
        <v>700</v>
      </c>
      <c r="E33" s="74">
        <f t="shared" si="0"/>
        <v>700</v>
      </c>
    </row>
    <row r="34" spans="1:6" x14ac:dyDescent="0.25">
      <c r="A34" s="64" t="s">
        <v>132</v>
      </c>
      <c r="B34" s="78">
        <v>1</v>
      </c>
      <c r="C34" s="78" t="s">
        <v>9</v>
      </c>
      <c r="D34" s="74">
        <v>4500</v>
      </c>
      <c r="E34" s="74">
        <f t="shared" si="0"/>
        <v>4500</v>
      </c>
    </row>
    <row r="35" spans="1:6" x14ac:dyDescent="0.25">
      <c r="A35" s="64" t="s">
        <v>55</v>
      </c>
      <c r="B35" s="72">
        <v>112</v>
      </c>
      <c r="C35" s="72" t="s">
        <v>10</v>
      </c>
      <c r="D35" s="73">
        <f>15.6+7</f>
        <v>22.6</v>
      </c>
      <c r="E35" s="74">
        <f t="shared" si="0"/>
        <v>2531.2000000000003</v>
      </c>
    </row>
    <row r="36" spans="1:6" x14ac:dyDescent="0.25">
      <c r="A36" s="64" t="s">
        <v>56</v>
      </c>
      <c r="B36" s="72">
        <v>112</v>
      </c>
      <c r="C36" s="72" t="s">
        <v>10</v>
      </c>
      <c r="D36" s="73">
        <f>5+7</f>
        <v>12</v>
      </c>
      <c r="E36" s="74">
        <f t="shared" si="0"/>
        <v>1344</v>
      </c>
    </row>
    <row r="37" spans="1:6" x14ac:dyDescent="0.25">
      <c r="A37" s="79" t="s">
        <v>133</v>
      </c>
      <c r="B37" s="70">
        <v>100</v>
      </c>
      <c r="C37" s="70" t="s">
        <v>9</v>
      </c>
      <c r="D37" s="80">
        <v>48</v>
      </c>
      <c r="E37" s="81">
        <f t="shared" si="0"/>
        <v>4800</v>
      </c>
    </row>
    <row r="38" spans="1:6" x14ac:dyDescent="0.25">
      <c r="A38" s="9" t="s">
        <v>25</v>
      </c>
      <c r="B38" s="61">
        <v>1</v>
      </c>
      <c r="C38" s="62" t="s">
        <v>27</v>
      </c>
      <c r="D38" s="63">
        <v>2400</v>
      </c>
      <c r="E38" s="74">
        <f t="shared" si="0"/>
        <v>2400</v>
      </c>
    </row>
    <row r="39" spans="1:6" x14ac:dyDescent="0.25">
      <c r="A39" s="64" t="s">
        <v>46</v>
      </c>
      <c r="B39" s="72">
        <v>1</v>
      </c>
      <c r="C39" s="72" t="s">
        <v>9</v>
      </c>
      <c r="D39" s="73">
        <v>1000</v>
      </c>
      <c r="E39" s="74">
        <f t="shared" si="0"/>
        <v>1000</v>
      </c>
    </row>
    <row r="40" spans="1:6" x14ac:dyDescent="0.25">
      <c r="A40" s="75"/>
      <c r="B40" s="82"/>
      <c r="C40" s="82"/>
      <c r="D40" s="83"/>
      <c r="E40" s="83"/>
      <c r="F40" s="6"/>
    </row>
    <row r="41" spans="1:6" x14ac:dyDescent="0.25">
      <c r="A41" s="158" t="s">
        <v>40</v>
      </c>
      <c r="B41" s="158"/>
      <c r="C41" s="158"/>
      <c r="D41" s="158"/>
      <c r="E41" s="84">
        <f>SUM(E21:E40)</f>
        <v>33175.199999999997</v>
      </c>
    </row>
    <row r="42" spans="1:6" x14ac:dyDescent="0.25">
      <c r="A42" s="158" t="s">
        <v>137</v>
      </c>
      <c r="B42" s="158"/>
      <c r="C42" s="158"/>
      <c r="D42" s="158"/>
      <c r="E42" s="67">
        <f>+(E39)*0.2</f>
        <v>200</v>
      </c>
    </row>
    <row r="43" spans="1:6" x14ac:dyDescent="0.25">
      <c r="A43" s="158" t="s">
        <v>41</v>
      </c>
      <c r="B43" s="158"/>
      <c r="C43" s="158"/>
      <c r="D43" s="158"/>
      <c r="E43" s="84">
        <f>+E42+E41</f>
        <v>33375.199999999997</v>
      </c>
    </row>
    <row r="44" spans="1:6" ht="15" customHeight="1" x14ac:dyDescent="0.25"/>
    <row r="51" spans="1:5" ht="26.25" customHeight="1" x14ac:dyDescent="0.25">
      <c r="A51" s="175" t="s">
        <v>123</v>
      </c>
      <c r="B51" s="175"/>
      <c r="C51" s="175"/>
      <c r="D51" s="175"/>
      <c r="E51" s="175"/>
    </row>
    <row r="52" spans="1:5" x14ac:dyDescent="0.25">
      <c r="A52" s="175"/>
      <c r="B52" s="175"/>
      <c r="C52" s="175"/>
      <c r="D52" s="175"/>
      <c r="E52" s="175"/>
    </row>
    <row r="53" spans="1:5" x14ac:dyDescent="0.25">
      <c r="A53" s="52" t="s">
        <v>21</v>
      </c>
    </row>
  </sheetData>
  <mergeCells count="5">
    <mergeCell ref="A52:E52"/>
    <mergeCell ref="A41:D41"/>
    <mergeCell ref="A42:D42"/>
    <mergeCell ref="A43:D43"/>
    <mergeCell ref="A51:E5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2:E53"/>
  <sheetViews>
    <sheetView view="pageBreakPreview" topLeftCell="A21" zoomScaleNormal="100" zoomScaleSheetLayoutView="100" workbookViewId="0">
      <selection activeCell="G37" sqref="G37"/>
    </sheetView>
  </sheetViews>
  <sheetFormatPr defaultColWidth="11.5546875" defaultRowHeight="13.2" x14ac:dyDescent="0.25"/>
  <cols>
    <col min="1" max="1" width="41.5546875" style="2" customWidth="1"/>
    <col min="2" max="2" width="8.33203125" style="2" customWidth="1"/>
    <col min="3" max="3" width="9.109375" style="2" customWidth="1"/>
    <col min="4" max="4" width="13.33203125" style="2" customWidth="1"/>
    <col min="5" max="5" width="15.88671875" style="2" customWidth="1"/>
    <col min="6" max="16384" width="11.5546875" style="2"/>
  </cols>
  <sheetData>
    <row r="12" spans="1:5" x14ac:dyDescent="0.25">
      <c r="A12" s="11">
        <v>44560</v>
      </c>
      <c r="B12" s="4"/>
      <c r="C12" s="4"/>
      <c r="D12" s="12" t="s">
        <v>84</v>
      </c>
      <c r="E12" s="13"/>
    </row>
    <row r="13" spans="1:5" x14ac:dyDescent="0.25">
      <c r="A13" s="14" t="s">
        <v>83</v>
      </c>
      <c r="B13" s="4"/>
      <c r="C13" s="4"/>
      <c r="D13" s="15" t="s">
        <v>85</v>
      </c>
      <c r="E13" s="5"/>
    </row>
    <row r="14" spans="1:5" x14ac:dyDescent="0.25">
      <c r="A14" s="14" t="s">
        <v>181</v>
      </c>
      <c r="B14" s="4"/>
      <c r="C14" s="4"/>
      <c r="D14" s="15" t="s">
        <v>86</v>
      </c>
      <c r="E14" s="5"/>
    </row>
    <row r="15" spans="1:5" x14ac:dyDescent="0.25">
      <c r="A15" s="14" t="s">
        <v>0</v>
      </c>
      <c r="B15" s="4"/>
      <c r="C15" s="5"/>
      <c r="D15" s="16" t="s">
        <v>87</v>
      </c>
      <c r="E15" s="5"/>
    </row>
    <row r="16" spans="1:5" x14ac:dyDescent="0.25">
      <c r="A16" s="14" t="s">
        <v>7</v>
      </c>
      <c r="B16" s="4"/>
      <c r="C16" s="4"/>
      <c r="D16" s="17" t="s">
        <v>88</v>
      </c>
      <c r="E16" s="18"/>
    </row>
    <row r="17" spans="1:5" x14ac:dyDescent="0.25">
      <c r="A17" s="14"/>
      <c r="B17" s="4"/>
      <c r="C17" s="4"/>
      <c r="D17" s="16"/>
      <c r="E17" s="16"/>
    </row>
    <row r="18" spans="1:5" x14ac:dyDescent="0.25">
      <c r="A18" s="14"/>
      <c r="B18" s="4"/>
      <c r="C18" s="4"/>
      <c r="D18" s="16"/>
      <c r="E18" s="16"/>
    </row>
    <row r="19" spans="1:5" x14ac:dyDescent="0.25">
      <c r="A19" s="14"/>
      <c r="B19" s="4"/>
      <c r="C19" s="4"/>
      <c r="D19" s="16"/>
      <c r="E19" s="16"/>
    </row>
    <row r="20" spans="1:5" x14ac:dyDescent="0.25">
      <c r="A20" s="14"/>
      <c r="B20" s="4"/>
      <c r="C20" s="4"/>
      <c r="D20" s="16"/>
      <c r="E20" s="16"/>
    </row>
    <row r="21" spans="1:5" x14ac:dyDescent="0.25">
      <c r="A21" s="14"/>
      <c r="B21" s="4"/>
      <c r="C21" s="4"/>
      <c r="D21" s="16"/>
      <c r="E21" s="16"/>
    </row>
    <row r="22" spans="1:5" x14ac:dyDescent="0.25">
      <c r="A22" s="14"/>
      <c r="B22" s="4"/>
      <c r="C22" s="4"/>
      <c r="D22" s="16"/>
      <c r="E22" s="16"/>
    </row>
    <row r="23" spans="1:5" x14ac:dyDescent="0.25">
      <c r="A23" s="14"/>
      <c r="B23" s="4"/>
      <c r="C23" s="4"/>
      <c r="D23" s="16"/>
      <c r="E23" s="16"/>
    </row>
    <row r="25" spans="1:5" x14ac:dyDescent="0.25">
      <c r="A25" s="56" t="s">
        <v>1</v>
      </c>
      <c r="B25" s="56" t="s">
        <v>2</v>
      </c>
      <c r="C25" s="56" t="s">
        <v>3</v>
      </c>
      <c r="D25" s="56" t="s">
        <v>4</v>
      </c>
      <c r="E25" s="56" t="s">
        <v>5</v>
      </c>
    </row>
    <row r="26" spans="1:5" x14ac:dyDescent="0.25">
      <c r="A26" s="222" t="s">
        <v>33</v>
      </c>
      <c r="B26" s="57"/>
      <c r="C26" s="58"/>
      <c r="D26" s="58"/>
      <c r="E26" s="58"/>
    </row>
    <row r="27" spans="1:5" x14ac:dyDescent="0.25">
      <c r="A27" s="9" t="s">
        <v>201</v>
      </c>
      <c r="B27" s="59" t="s">
        <v>9</v>
      </c>
      <c r="C27" s="60">
        <v>1</v>
      </c>
      <c r="D27" s="60">
        <v>9500</v>
      </c>
      <c r="E27" s="60">
        <f>+D27*C27</f>
        <v>9500</v>
      </c>
    </row>
    <row r="28" spans="1:5" x14ac:dyDescent="0.25">
      <c r="A28" s="9" t="s">
        <v>197</v>
      </c>
      <c r="B28" s="61"/>
      <c r="C28" s="62"/>
      <c r="D28" s="62"/>
      <c r="E28" s="62"/>
    </row>
    <row r="29" spans="1:5" x14ac:dyDescent="0.25">
      <c r="A29" s="9" t="s">
        <v>198</v>
      </c>
      <c r="B29" s="61"/>
      <c r="C29" s="62"/>
      <c r="D29" s="62"/>
      <c r="E29" s="62"/>
    </row>
    <row r="30" spans="1:5" x14ac:dyDescent="0.25">
      <c r="A30" s="9" t="s">
        <v>200</v>
      </c>
      <c r="B30" s="61"/>
      <c r="C30" s="62"/>
      <c r="D30" s="62"/>
      <c r="E30" s="62"/>
    </row>
    <row r="31" spans="1:5" x14ac:dyDescent="0.25">
      <c r="A31" s="9" t="s">
        <v>199</v>
      </c>
      <c r="B31" s="61"/>
      <c r="C31" s="62"/>
      <c r="D31" s="62"/>
      <c r="E31" s="62"/>
    </row>
    <row r="32" spans="1:5" x14ac:dyDescent="0.25">
      <c r="A32" s="9"/>
      <c r="B32" s="61"/>
      <c r="C32" s="62"/>
      <c r="D32" s="62"/>
      <c r="E32" s="62"/>
    </row>
    <row r="33" spans="1:5" x14ac:dyDescent="0.25">
      <c r="A33" s="9"/>
      <c r="B33" s="61"/>
      <c r="C33" s="62"/>
      <c r="D33" s="62"/>
      <c r="E33" s="62"/>
    </row>
    <row r="34" spans="1:5" x14ac:dyDescent="0.25">
      <c r="A34" s="9" t="s">
        <v>90</v>
      </c>
      <c r="B34" s="61" t="s">
        <v>9</v>
      </c>
      <c r="C34" s="62">
        <v>1</v>
      </c>
      <c r="D34" s="63">
        <v>1100</v>
      </c>
      <c r="E34" s="63">
        <f>+D34*C34</f>
        <v>1100</v>
      </c>
    </row>
    <row r="35" spans="1:5" x14ac:dyDescent="0.25">
      <c r="A35" s="9" t="s">
        <v>76</v>
      </c>
      <c r="B35" s="61" t="s">
        <v>9</v>
      </c>
      <c r="C35" s="62">
        <v>1</v>
      </c>
      <c r="D35" s="63">
        <v>950</v>
      </c>
      <c r="E35" s="63">
        <f>+D35*C35</f>
        <v>950</v>
      </c>
    </row>
    <row r="36" spans="1:5" x14ac:dyDescent="0.25">
      <c r="A36" s="32" t="s">
        <v>58</v>
      </c>
      <c r="B36" s="61" t="s">
        <v>10</v>
      </c>
      <c r="C36" s="62">
        <v>24</v>
      </c>
      <c r="D36" s="63">
        <v>36</v>
      </c>
      <c r="E36" s="63">
        <f>+D36*C36</f>
        <v>864</v>
      </c>
    </row>
    <row r="37" spans="1:5" x14ac:dyDescent="0.25">
      <c r="A37" s="9" t="s">
        <v>25</v>
      </c>
      <c r="B37" s="61" t="s">
        <v>27</v>
      </c>
      <c r="C37" s="62">
        <v>1</v>
      </c>
      <c r="D37" s="63">
        <v>2500</v>
      </c>
      <c r="E37" s="63">
        <f>+D37*C37</f>
        <v>2500</v>
      </c>
    </row>
    <row r="38" spans="1:5" x14ac:dyDescent="0.25">
      <c r="A38" s="64" t="s">
        <v>46</v>
      </c>
      <c r="B38" s="61" t="s">
        <v>9</v>
      </c>
      <c r="C38" s="62">
        <v>1</v>
      </c>
      <c r="D38" s="63">
        <v>1000</v>
      </c>
      <c r="E38" s="63">
        <f>+D38*C38</f>
        <v>1000</v>
      </c>
    </row>
    <row r="39" spans="1:5" x14ac:dyDescent="0.25">
      <c r="A39" s="65"/>
      <c r="B39" s="65"/>
      <c r="C39" s="65"/>
      <c r="D39" s="65"/>
      <c r="E39" s="66"/>
    </row>
    <row r="40" spans="1:5" x14ac:dyDescent="0.25">
      <c r="A40" s="158" t="s">
        <v>31</v>
      </c>
      <c r="B40" s="158"/>
      <c r="C40" s="158"/>
      <c r="D40" s="158"/>
      <c r="E40" s="67">
        <f>SUM(E26:E39)</f>
        <v>15914</v>
      </c>
    </row>
    <row r="41" spans="1:5" x14ac:dyDescent="0.25">
      <c r="A41" s="158" t="s">
        <v>136</v>
      </c>
      <c r="B41" s="158"/>
      <c r="C41" s="158"/>
      <c r="D41" s="158"/>
      <c r="E41" s="67">
        <f>+(E27+E38)*0.2</f>
        <v>2100</v>
      </c>
    </row>
    <row r="42" spans="1:5" x14ac:dyDescent="0.25">
      <c r="A42" s="158" t="s">
        <v>32</v>
      </c>
      <c r="B42" s="158"/>
      <c r="C42" s="158"/>
      <c r="D42" s="158"/>
      <c r="E42" s="67">
        <f>+E41+E40</f>
        <v>18014</v>
      </c>
    </row>
    <row r="43" spans="1:5" x14ac:dyDescent="0.25">
      <c r="A43" s="68"/>
      <c r="B43" s="68"/>
      <c r="C43" s="68"/>
      <c r="D43" s="68"/>
      <c r="E43" s="10"/>
    </row>
    <row r="44" spans="1:5" x14ac:dyDescent="0.25">
      <c r="A44" s="68"/>
      <c r="B44" s="68"/>
      <c r="C44" s="68"/>
      <c r="D44" s="68"/>
      <c r="E44" s="10"/>
    </row>
    <row r="45" spans="1:5" x14ac:dyDescent="0.25">
      <c r="A45" s="68"/>
      <c r="B45" s="68"/>
      <c r="C45" s="68"/>
      <c r="D45" s="68"/>
      <c r="E45" s="10"/>
    </row>
    <row r="46" spans="1:5" x14ac:dyDescent="0.25">
      <c r="A46" s="162" t="s">
        <v>124</v>
      </c>
      <c r="B46" s="162"/>
      <c r="C46" s="162"/>
      <c r="D46" s="162"/>
      <c r="E46" s="162"/>
    </row>
    <row r="47" spans="1:5" x14ac:dyDescent="0.25">
      <c r="A47" s="162"/>
      <c r="B47" s="162"/>
      <c r="C47" s="162"/>
      <c r="D47" s="162"/>
      <c r="E47" s="162"/>
    </row>
    <row r="53" spans="1:1" x14ac:dyDescent="0.25">
      <c r="A53" s="52" t="s">
        <v>21</v>
      </c>
    </row>
  </sheetData>
  <mergeCells count="4">
    <mergeCell ref="A46:E47"/>
    <mergeCell ref="A40:D40"/>
    <mergeCell ref="A41:D41"/>
    <mergeCell ref="A42:D4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2:E64"/>
  <sheetViews>
    <sheetView view="pageBreakPreview" topLeftCell="A26" zoomScaleNormal="100" zoomScaleSheetLayoutView="100" workbookViewId="0">
      <selection activeCell="A14" sqref="A14"/>
    </sheetView>
  </sheetViews>
  <sheetFormatPr defaultColWidth="11.5546875" defaultRowHeight="13.2" x14ac:dyDescent="0.25"/>
  <cols>
    <col min="1" max="1" width="39.88671875" style="2" customWidth="1"/>
    <col min="2" max="2" width="9.5546875" style="2" customWidth="1"/>
    <col min="3" max="3" width="10" style="2" customWidth="1"/>
    <col min="4" max="4" width="11" style="2" customWidth="1"/>
    <col min="5" max="5" width="18" style="2" customWidth="1"/>
    <col min="6" max="16384" width="11.5546875" style="2"/>
  </cols>
  <sheetData>
    <row r="12" spans="1:5" x14ac:dyDescent="0.25">
      <c r="A12" s="11">
        <v>44560</v>
      </c>
      <c r="B12" s="4"/>
      <c r="C12" s="4"/>
      <c r="D12" s="12" t="s">
        <v>84</v>
      </c>
      <c r="E12" s="13"/>
    </row>
    <row r="13" spans="1:5" x14ac:dyDescent="0.25">
      <c r="A13" s="14" t="s">
        <v>83</v>
      </c>
      <c r="B13" s="4"/>
      <c r="C13" s="4"/>
      <c r="D13" s="15" t="s">
        <v>85</v>
      </c>
      <c r="E13" s="5"/>
    </row>
    <row r="14" spans="1:5" x14ac:dyDescent="0.25">
      <c r="A14" s="14" t="s">
        <v>181</v>
      </c>
      <c r="B14" s="4"/>
      <c r="C14" s="4"/>
      <c r="D14" s="15" t="s">
        <v>86</v>
      </c>
      <c r="E14" s="5"/>
    </row>
    <row r="15" spans="1:5" x14ac:dyDescent="0.25">
      <c r="A15" s="14" t="s">
        <v>0</v>
      </c>
      <c r="B15" s="4"/>
      <c r="C15" s="5"/>
      <c r="D15" s="16" t="s">
        <v>87</v>
      </c>
      <c r="E15" s="5"/>
    </row>
    <row r="16" spans="1:5" x14ac:dyDescent="0.25">
      <c r="A16" s="14" t="s">
        <v>7</v>
      </c>
      <c r="B16" s="4"/>
      <c r="C16" s="4"/>
      <c r="D16" s="17" t="s">
        <v>88</v>
      </c>
      <c r="E16" s="18"/>
    </row>
    <row r="17" spans="1:5" x14ac:dyDescent="0.25">
      <c r="A17" s="14"/>
      <c r="B17" s="4"/>
      <c r="C17" s="4"/>
      <c r="D17" s="16"/>
      <c r="E17" s="16"/>
    </row>
    <row r="18" spans="1:5" x14ac:dyDescent="0.25">
      <c r="A18" s="14"/>
      <c r="B18" s="4"/>
      <c r="C18" s="4"/>
      <c r="D18" s="16"/>
      <c r="E18" s="16"/>
    </row>
    <row r="19" spans="1:5" x14ac:dyDescent="0.25">
      <c r="A19" s="14"/>
      <c r="B19" s="4"/>
      <c r="C19" s="4"/>
      <c r="D19" s="16"/>
      <c r="E19" s="16"/>
    </row>
    <row r="20" spans="1:5" x14ac:dyDescent="0.25">
      <c r="A20" s="14"/>
      <c r="B20" s="4"/>
      <c r="C20" s="4"/>
      <c r="D20" s="16"/>
      <c r="E20" s="16"/>
    </row>
    <row r="25" spans="1:5" x14ac:dyDescent="0.25">
      <c r="A25" s="55" t="s">
        <v>80</v>
      </c>
      <c r="C25" s="8"/>
      <c r="D25" s="8"/>
      <c r="E25" s="8"/>
    </row>
    <row r="26" spans="1:5" x14ac:dyDescent="0.25">
      <c r="A26" s="55" t="s">
        <v>81</v>
      </c>
      <c r="C26" s="8"/>
      <c r="D26" s="8"/>
      <c r="E26" s="8"/>
    </row>
    <row r="27" spans="1:5" x14ac:dyDescent="0.25">
      <c r="A27" s="55" t="s">
        <v>79</v>
      </c>
      <c r="C27" s="8"/>
      <c r="D27" s="8"/>
      <c r="E27" s="8"/>
    </row>
    <row r="28" spans="1:5" x14ac:dyDescent="0.25">
      <c r="A28" s="55" t="s">
        <v>143</v>
      </c>
      <c r="C28" s="8"/>
      <c r="D28" s="8"/>
      <c r="E28" s="8"/>
    </row>
    <row r="29" spans="1:5" x14ac:dyDescent="0.25">
      <c r="A29" s="55" t="s">
        <v>82</v>
      </c>
    </row>
    <row r="34" spans="1:5" x14ac:dyDescent="0.25">
      <c r="A34" s="46" t="s">
        <v>1</v>
      </c>
      <c r="B34" s="46" t="s">
        <v>34</v>
      </c>
      <c r="C34" s="46" t="s">
        <v>35</v>
      </c>
      <c r="D34" s="46" t="s">
        <v>36</v>
      </c>
      <c r="E34" s="46" t="s">
        <v>5</v>
      </c>
    </row>
    <row r="35" spans="1:5" x14ac:dyDescent="0.25">
      <c r="A35" s="176" t="s">
        <v>37</v>
      </c>
      <c r="B35" s="171" t="s">
        <v>138</v>
      </c>
      <c r="C35" s="173">
        <v>1009</v>
      </c>
      <c r="D35" s="173">
        <v>20</v>
      </c>
      <c r="E35" s="173">
        <f>C35*D35</f>
        <v>20180</v>
      </c>
    </row>
    <row r="36" spans="1:5" x14ac:dyDescent="0.25">
      <c r="A36" s="177"/>
      <c r="B36" s="179"/>
      <c r="C36" s="181"/>
      <c r="D36" s="181"/>
      <c r="E36" s="181"/>
    </row>
    <row r="37" spans="1:5" x14ac:dyDescent="0.25">
      <c r="A37" s="177"/>
      <c r="B37" s="179"/>
      <c r="C37" s="181"/>
      <c r="D37" s="181"/>
      <c r="E37" s="181"/>
    </row>
    <row r="38" spans="1:5" x14ac:dyDescent="0.25">
      <c r="A38" s="177"/>
      <c r="B38" s="179"/>
      <c r="C38" s="181"/>
      <c r="D38" s="181"/>
      <c r="E38" s="181"/>
    </row>
    <row r="39" spans="1:5" x14ac:dyDescent="0.25">
      <c r="A39" s="178"/>
      <c r="B39" s="180"/>
      <c r="C39" s="182"/>
      <c r="D39" s="182"/>
      <c r="E39" s="182"/>
    </row>
    <row r="40" spans="1:5" x14ac:dyDescent="0.25">
      <c r="A40" s="158" t="s">
        <v>31</v>
      </c>
      <c r="B40" s="158"/>
      <c r="C40" s="158"/>
      <c r="D40" s="158"/>
      <c r="E40" s="51">
        <f>SUM(E35)</f>
        <v>20180</v>
      </c>
    </row>
    <row r="41" spans="1:5" x14ac:dyDescent="0.25">
      <c r="A41" s="158" t="s">
        <v>136</v>
      </c>
      <c r="B41" s="158"/>
      <c r="C41" s="158"/>
      <c r="D41" s="158"/>
      <c r="E41" s="51">
        <f>E40*0.2</f>
        <v>4036</v>
      </c>
    </row>
    <row r="42" spans="1:5" x14ac:dyDescent="0.25">
      <c r="A42" s="158" t="s">
        <v>32</v>
      </c>
      <c r="B42" s="158"/>
      <c r="C42" s="158"/>
      <c r="D42" s="158"/>
      <c r="E42" s="51">
        <f>+E41+E40</f>
        <v>24216</v>
      </c>
    </row>
    <row r="47" spans="1:5" x14ac:dyDescent="0.25">
      <c r="A47" s="162" t="s">
        <v>125</v>
      </c>
      <c r="B47" s="162"/>
      <c r="C47" s="162"/>
      <c r="D47" s="162"/>
      <c r="E47" s="162"/>
    </row>
    <row r="48" spans="1:5" x14ac:dyDescent="0.25">
      <c r="A48" s="162"/>
      <c r="B48" s="162"/>
      <c r="C48" s="162"/>
      <c r="D48" s="162"/>
      <c r="E48" s="162"/>
    </row>
    <row r="53" spans="1:1" x14ac:dyDescent="0.25">
      <c r="A53" s="52" t="s">
        <v>21</v>
      </c>
    </row>
    <row r="62" spans="1:1" x14ac:dyDescent="0.25">
      <c r="A62" s="52"/>
    </row>
    <row r="64" spans="1:1" x14ac:dyDescent="0.25">
      <c r="A64" s="52"/>
    </row>
  </sheetData>
  <mergeCells count="9">
    <mergeCell ref="A41:D41"/>
    <mergeCell ref="A42:D42"/>
    <mergeCell ref="A47:E48"/>
    <mergeCell ref="A35:A39"/>
    <mergeCell ref="B35:B39"/>
    <mergeCell ref="C35:C39"/>
    <mergeCell ref="D35:D39"/>
    <mergeCell ref="E35:E39"/>
    <mergeCell ref="A40:D40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2:E71"/>
  <sheetViews>
    <sheetView view="pageBreakPreview" topLeftCell="A17" zoomScaleNormal="100" zoomScaleSheetLayoutView="100" workbookViewId="0">
      <selection activeCell="H30" sqref="H30"/>
    </sheetView>
  </sheetViews>
  <sheetFormatPr defaultColWidth="11.5546875" defaultRowHeight="13.2" x14ac:dyDescent="0.25"/>
  <cols>
    <col min="1" max="1" width="41.109375" style="2" customWidth="1"/>
    <col min="2" max="2" width="8.33203125" style="2" customWidth="1"/>
    <col min="3" max="3" width="9.33203125" style="2" customWidth="1"/>
    <col min="4" max="4" width="11.5546875" style="2" customWidth="1"/>
    <col min="5" max="5" width="18.33203125" style="2" customWidth="1"/>
    <col min="6" max="16384" width="11.5546875" style="2"/>
  </cols>
  <sheetData>
    <row r="12" spans="1:5" x14ac:dyDescent="0.25">
      <c r="A12" s="11">
        <v>44560</v>
      </c>
      <c r="B12" s="4"/>
      <c r="C12" s="4"/>
      <c r="D12" s="12" t="s">
        <v>84</v>
      </c>
      <c r="E12" s="13"/>
    </row>
    <row r="13" spans="1:5" x14ac:dyDescent="0.25">
      <c r="A13" s="14" t="s">
        <v>83</v>
      </c>
      <c r="B13" s="4"/>
      <c r="C13" s="4"/>
      <c r="D13" s="15" t="s">
        <v>85</v>
      </c>
      <c r="E13" s="5"/>
    </row>
    <row r="14" spans="1:5" x14ac:dyDescent="0.25">
      <c r="A14" s="14" t="s">
        <v>181</v>
      </c>
      <c r="B14" s="4"/>
      <c r="C14" s="4"/>
      <c r="D14" s="15" t="s">
        <v>86</v>
      </c>
      <c r="E14" s="5"/>
    </row>
    <row r="15" spans="1:5" x14ac:dyDescent="0.25">
      <c r="A15" s="14" t="s">
        <v>0</v>
      </c>
      <c r="B15" s="4"/>
      <c r="C15" s="5"/>
      <c r="D15" s="16" t="s">
        <v>87</v>
      </c>
      <c r="E15" s="5"/>
    </row>
    <row r="16" spans="1:5" x14ac:dyDescent="0.25">
      <c r="A16" s="14" t="s">
        <v>7</v>
      </c>
      <c r="B16" s="4"/>
      <c r="C16" s="4"/>
      <c r="D16" s="17" t="s">
        <v>88</v>
      </c>
      <c r="E16" s="18"/>
    </row>
    <row r="31" spans="1:5" x14ac:dyDescent="0.25">
      <c r="A31" s="46" t="s">
        <v>1</v>
      </c>
      <c r="B31" s="46" t="s">
        <v>34</v>
      </c>
      <c r="C31" s="46" t="s">
        <v>35</v>
      </c>
      <c r="D31" s="46" t="s">
        <v>36</v>
      </c>
      <c r="E31" s="46" t="s">
        <v>5</v>
      </c>
    </row>
    <row r="32" spans="1:5" x14ac:dyDescent="0.25">
      <c r="A32" s="176" t="s">
        <v>45</v>
      </c>
      <c r="B32" s="171" t="s">
        <v>10</v>
      </c>
      <c r="C32" s="173">
        <v>450</v>
      </c>
      <c r="D32" s="173">
        <v>14</v>
      </c>
      <c r="E32" s="173">
        <f>C32*D32</f>
        <v>6300</v>
      </c>
    </row>
    <row r="33" spans="1:5" x14ac:dyDescent="0.25">
      <c r="A33" s="177"/>
      <c r="B33" s="179"/>
      <c r="C33" s="181"/>
      <c r="D33" s="181"/>
      <c r="E33" s="181"/>
    </row>
    <row r="34" spans="1:5" x14ac:dyDescent="0.25">
      <c r="A34" s="177"/>
      <c r="B34" s="179"/>
      <c r="C34" s="181"/>
      <c r="D34" s="181"/>
      <c r="E34" s="181"/>
    </row>
    <row r="35" spans="1:5" x14ac:dyDescent="0.25">
      <c r="A35" s="177"/>
      <c r="B35" s="179"/>
      <c r="C35" s="181"/>
      <c r="D35" s="181"/>
      <c r="E35" s="181"/>
    </row>
    <row r="36" spans="1:5" x14ac:dyDescent="0.25">
      <c r="A36" s="178"/>
      <c r="B36" s="180"/>
      <c r="C36" s="182"/>
      <c r="D36" s="182"/>
      <c r="E36" s="182"/>
    </row>
    <row r="37" spans="1:5" x14ac:dyDescent="0.25">
      <c r="A37" s="158" t="s">
        <v>40</v>
      </c>
      <c r="B37" s="158"/>
      <c r="C37" s="158"/>
      <c r="D37" s="158"/>
      <c r="E37" s="51">
        <f>SUM(E32:E36)</f>
        <v>6300</v>
      </c>
    </row>
    <row r="38" spans="1:5" x14ac:dyDescent="0.25">
      <c r="A38" s="158" t="s">
        <v>137</v>
      </c>
      <c r="B38" s="158"/>
      <c r="C38" s="158"/>
      <c r="D38" s="158"/>
      <c r="E38" s="51">
        <f>+E37*0.2</f>
        <v>1260</v>
      </c>
    </row>
    <row r="39" spans="1:5" x14ac:dyDescent="0.25">
      <c r="A39" s="158" t="s">
        <v>41</v>
      </c>
      <c r="B39" s="158"/>
      <c r="C39" s="158"/>
      <c r="D39" s="158"/>
      <c r="E39" s="51">
        <f>+E37+E38</f>
        <v>7560</v>
      </c>
    </row>
    <row r="46" spans="1:5" x14ac:dyDescent="0.25">
      <c r="A46" s="162" t="s">
        <v>126</v>
      </c>
      <c r="B46" s="162"/>
      <c r="C46" s="162"/>
      <c r="D46" s="162"/>
      <c r="E46" s="162"/>
    </row>
    <row r="47" spans="1:5" x14ac:dyDescent="0.25">
      <c r="A47" s="162"/>
      <c r="B47" s="162"/>
      <c r="C47" s="162"/>
      <c r="D47" s="162"/>
      <c r="E47" s="162"/>
    </row>
    <row r="50" spans="1:1" x14ac:dyDescent="0.25">
      <c r="A50" s="52" t="s">
        <v>21</v>
      </c>
    </row>
    <row r="58" spans="1:1" x14ac:dyDescent="0.25">
      <c r="A58" s="52"/>
    </row>
    <row r="71" spans="1:1" x14ac:dyDescent="0.25">
      <c r="A71" s="52"/>
    </row>
  </sheetData>
  <mergeCells count="9">
    <mergeCell ref="A38:D38"/>
    <mergeCell ref="A39:D39"/>
    <mergeCell ref="A46:E47"/>
    <mergeCell ref="A32:A36"/>
    <mergeCell ref="B32:B36"/>
    <mergeCell ref="C32:C36"/>
    <mergeCell ref="D32:D36"/>
    <mergeCell ref="E32:E36"/>
    <mergeCell ref="A37:D37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2:E66"/>
  <sheetViews>
    <sheetView view="pageBreakPreview" topLeftCell="A21" zoomScaleNormal="100" zoomScaleSheetLayoutView="100" workbookViewId="0">
      <selection activeCell="A14" sqref="A14"/>
    </sheetView>
  </sheetViews>
  <sheetFormatPr defaultColWidth="11.5546875" defaultRowHeight="13.2" x14ac:dyDescent="0.25"/>
  <cols>
    <col min="1" max="1" width="40.88671875" style="2" customWidth="1"/>
    <col min="2" max="3" width="9.33203125" style="2" customWidth="1"/>
    <col min="4" max="4" width="10.109375" style="2" customWidth="1"/>
    <col min="5" max="5" width="19.5546875" style="2" customWidth="1"/>
    <col min="6" max="16384" width="11.5546875" style="2"/>
  </cols>
  <sheetData>
    <row r="12" spans="1:5" x14ac:dyDescent="0.25">
      <c r="A12" s="11">
        <v>44560</v>
      </c>
      <c r="B12" s="4"/>
      <c r="C12" s="4"/>
      <c r="D12" s="12" t="s">
        <v>84</v>
      </c>
      <c r="E12" s="13"/>
    </row>
    <row r="13" spans="1:5" x14ac:dyDescent="0.25">
      <c r="A13" s="14" t="s">
        <v>83</v>
      </c>
      <c r="B13" s="4"/>
      <c r="C13" s="4"/>
      <c r="D13" s="15" t="s">
        <v>85</v>
      </c>
      <c r="E13" s="5"/>
    </row>
    <row r="14" spans="1:5" x14ac:dyDescent="0.25">
      <c r="A14" s="14" t="s">
        <v>181</v>
      </c>
      <c r="B14" s="4"/>
      <c r="C14" s="4"/>
      <c r="D14" s="15" t="s">
        <v>86</v>
      </c>
      <c r="E14" s="5"/>
    </row>
    <row r="15" spans="1:5" x14ac:dyDescent="0.25">
      <c r="A15" s="14" t="s">
        <v>0</v>
      </c>
      <c r="B15" s="4"/>
      <c r="C15" s="5"/>
      <c r="D15" s="16" t="s">
        <v>87</v>
      </c>
      <c r="E15" s="5"/>
    </row>
    <row r="16" spans="1:5" x14ac:dyDescent="0.25">
      <c r="A16" s="14" t="s">
        <v>7</v>
      </c>
      <c r="B16" s="4"/>
      <c r="C16" s="4"/>
      <c r="D16" s="17" t="s">
        <v>88</v>
      </c>
      <c r="E16" s="18"/>
    </row>
    <row r="30" spans="1:5" x14ac:dyDescent="0.25">
      <c r="A30" s="46" t="s">
        <v>1</v>
      </c>
      <c r="B30" s="46" t="s">
        <v>42</v>
      </c>
      <c r="C30" s="46" t="s">
        <v>35</v>
      </c>
      <c r="D30" s="46" t="s">
        <v>36</v>
      </c>
      <c r="E30" s="46" t="s">
        <v>5</v>
      </c>
    </row>
    <row r="31" spans="1:5" x14ac:dyDescent="0.25">
      <c r="A31" s="171" t="s">
        <v>77</v>
      </c>
      <c r="B31" s="171" t="s">
        <v>135</v>
      </c>
      <c r="C31" s="173">
        <v>9</v>
      </c>
      <c r="D31" s="183">
        <v>1000</v>
      </c>
      <c r="E31" s="173">
        <f>C31*D31</f>
        <v>9000</v>
      </c>
    </row>
    <row r="32" spans="1:5" x14ac:dyDescent="0.25">
      <c r="A32" s="179"/>
      <c r="B32" s="179"/>
      <c r="C32" s="181"/>
      <c r="D32" s="184"/>
      <c r="E32" s="181"/>
    </row>
    <row r="33" spans="1:5" x14ac:dyDescent="0.25">
      <c r="A33" s="179"/>
      <c r="B33" s="179"/>
      <c r="C33" s="181"/>
      <c r="D33" s="184"/>
      <c r="E33" s="181"/>
    </row>
    <row r="34" spans="1:5" x14ac:dyDescent="0.25">
      <c r="A34" s="179"/>
      <c r="B34" s="179"/>
      <c r="C34" s="181"/>
      <c r="D34" s="184"/>
      <c r="E34" s="181"/>
    </row>
    <row r="35" spans="1:5" x14ac:dyDescent="0.25">
      <c r="A35" s="180"/>
      <c r="B35" s="180"/>
      <c r="C35" s="182"/>
      <c r="D35" s="185"/>
      <c r="E35" s="182"/>
    </row>
    <row r="36" spans="1:5" x14ac:dyDescent="0.25">
      <c r="A36" s="158" t="s">
        <v>31</v>
      </c>
      <c r="B36" s="158"/>
      <c r="C36" s="158"/>
      <c r="D36" s="158"/>
      <c r="E36" s="45">
        <f>+E31</f>
        <v>9000</v>
      </c>
    </row>
    <row r="37" spans="1:5" x14ac:dyDescent="0.25">
      <c r="A37" s="158" t="s">
        <v>136</v>
      </c>
      <c r="B37" s="158"/>
      <c r="C37" s="158"/>
      <c r="D37" s="158"/>
      <c r="E37" s="45">
        <f>E36*0.2</f>
        <v>1800</v>
      </c>
    </row>
    <row r="38" spans="1:5" x14ac:dyDescent="0.25">
      <c r="A38" s="158" t="s">
        <v>32</v>
      </c>
      <c r="B38" s="158"/>
      <c r="C38" s="158"/>
      <c r="D38" s="158"/>
      <c r="E38" s="45">
        <f>+E36+E37</f>
        <v>10800</v>
      </c>
    </row>
    <row r="43" spans="1:5" x14ac:dyDescent="0.25">
      <c r="A43" s="162" t="s">
        <v>127</v>
      </c>
      <c r="B43" s="162"/>
      <c r="C43" s="162"/>
      <c r="D43" s="162"/>
      <c r="E43" s="162"/>
    </row>
    <row r="44" spans="1:5" x14ac:dyDescent="0.25">
      <c r="A44" s="162"/>
      <c r="B44" s="162"/>
      <c r="C44" s="162"/>
      <c r="D44" s="162"/>
      <c r="E44" s="162"/>
    </row>
    <row r="52" spans="1:5" x14ac:dyDescent="0.25">
      <c r="A52" s="52" t="s">
        <v>21</v>
      </c>
    </row>
    <row r="53" spans="1:5" x14ac:dyDescent="0.25">
      <c r="A53" s="52"/>
    </row>
    <row r="61" spans="1:5" x14ac:dyDescent="0.25">
      <c r="E61" s="38"/>
    </row>
    <row r="66" spans="1:1" x14ac:dyDescent="0.25">
      <c r="A66" s="52"/>
    </row>
  </sheetData>
  <mergeCells count="9">
    <mergeCell ref="A37:D37"/>
    <mergeCell ref="A38:D38"/>
    <mergeCell ref="A43:E44"/>
    <mergeCell ref="A31:A35"/>
    <mergeCell ref="B31:B35"/>
    <mergeCell ref="C31:C35"/>
    <mergeCell ref="D31:D35"/>
    <mergeCell ref="E31:E35"/>
    <mergeCell ref="A36:D3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0:E42"/>
  <sheetViews>
    <sheetView view="pageBreakPreview" topLeftCell="A7" zoomScaleNormal="100" zoomScaleSheetLayoutView="100" workbookViewId="0">
      <selection activeCell="H28" sqref="H28"/>
    </sheetView>
  </sheetViews>
  <sheetFormatPr defaultColWidth="11.5546875" defaultRowHeight="13.2" x14ac:dyDescent="0.25"/>
  <cols>
    <col min="1" max="1" width="41.44140625" style="2" customWidth="1"/>
    <col min="2" max="2" width="9.88671875" style="2" customWidth="1"/>
    <col min="3" max="4" width="11.5546875" style="2" customWidth="1"/>
    <col min="5" max="5" width="15" style="2" customWidth="1"/>
    <col min="6" max="16384" width="11.5546875" style="2"/>
  </cols>
  <sheetData>
    <row r="10" spans="1:5" x14ac:dyDescent="0.25">
      <c r="A10" s="11">
        <v>44560</v>
      </c>
      <c r="B10" s="4"/>
      <c r="C10" s="4"/>
      <c r="D10" s="12" t="s">
        <v>84</v>
      </c>
      <c r="E10" s="13"/>
    </row>
    <row r="11" spans="1:5" x14ac:dyDescent="0.25">
      <c r="A11" s="14" t="s">
        <v>83</v>
      </c>
      <c r="B11" s="4"/>
      <c r="C11" s="4"/>
      <c r="D11" s="15" t="s">
        <v>85</v>
      </c>
      <c r="E11" s="5"/>
    </row>
    <row r="12" spans="1:5" x14ac:dyDescent="0.25">
      <c r="A12" s="14" t="s">
        <v>181</v>
      </c>
      <c r="B12" s="4"/>
      <c r="C12" s="4"/>
      <c r="D12" s="15" t="s">
        <v>86</v>
      </c>
      <c r="E12" s="5"/>
    </row>
    <row r="13" spans="1:5" x14ac:dyDescent="0.25">
      <c r="A13" s="14" t="s">
        <v>0</v>
      </c>
      <c r="B13" s="4"/>
      <c r="C13" s="5"/>
      <c r="D13" s="16" t="s">
        <v>87</v>
      </c>
      <c r="E13" s="5"/>
    </row>
    <row r="14" spans="1:5" x14ac:dyDescent="0.25">
      <c r="A14" s="14" t="s">
        <v>7</v>
      </c>
      <c r="B14" s="4"/>
      <c r="C14" s="4"/>
      <c r="D14" s="17" t="s">
        <v>88</v>
      </c>
      <c r="E14" s="18"/>
    </row>
    <row r="21" spans="1:5" ht="14.25" customHeight="1" x14ac:dyDescent="0.25">
      <c r="A21" s="46" t="s">
        <v>1</v>
      </c>
      <c r="B21" s="46" t="s">
        <v>2</v>
      </c>
      <c r="C21" s="46" t="s">
        <v>35</v>
      </c>
      <c r="D21" s="46" t="s">
        <v>36</v>
      </c>
      <c r="E21" s="46" t="s">
        <v>5</v>
      </c>
    </row>
    <row r="22" spans="1:5" ht="60.75" customHeight="1" x14ac:dyDescent="0.25">
      <c r="A22" s="47" t="s">
        <v>115</v>
      </c>
      <c r="B22" s="47" t="s">
        <v>112</v>
      </c>
      <c r="C22" s="48">
        <v>136</v>
      </c>
      <c r="D22" s="48">
        <v>650</v>
      </c>
      <c r="E22" s="48">
        <f>C22*D22</f>
        <v>88400</v>
      </c>
    </row>
    <row r="23" spans="1:5" x14ac:dyDescent="0.25">
      <c r="A23" s="49" t="s">
        <v>116</v>
      </c>
      <c r="B23" s="50"/>
      <c r="C23" s="50"/>
      <c r="D23" s="50"/>
      <c r="E23" s="51">
        <f>+E22</f>
        <v>88400</v>
      </c>
    </row>
    <row r="24" spans="1:5" x14ac:dyDescent="0.25">
      <c r="A24" s="49" t="s">
        <v>117</v>
      </c>
      <c r="B24" s="50"/>
      <c r="C24" s="50"/>
      <c r="D24" s="50"/>
      <c r="E24" s="51">
        <f>+E23*0.2</f>
        <v>17680</v>
      </c>
    </row>
    <row r="25" spans="1:5" x14ac:dyDescent="0.25">
      <c r="A25" s="49" t="s">
        <v>118</v>
      </c>
      <c r="B25" s="50"/>
      <c r="C25" s="50"/>
      <c r="D25" s="50"/>
      <c r="E25" s="51">
        <f>E23+E24</f>
        <v>106080</v>
      </c>
    </row>
    <row r="29" spans="1:5" x14ac:dyDescent="0.25">
      <c r="E29" s="3"/>
    </row>
    <row r="31" spans="1:5" x14ac:dyDescent="0.25">
      <c r="E31" s="3"/>
    </row>
    <row r="32" spans="1:5" x14ac:dyDescent="0.25">
      <c r="A32" s="162" t="s">
        <v>128</v>
      </c>
      <c r="B32" s="162"/>
      <c r="C32" s="162"/>
      <c r="D32" s="162"/>
      <c r="E32" s="162"/>
    </row>
    <row r="33" spans="1:5" x14ac:dyDescent="0.25">
      <c r="A33" s="162"/>
      <c r="B33" s="162"/>
      <c r="C33" s="162"/>
      <c r="D33" s="162"/>
      <c r="E33" s="162"/>
    </row>
    <row r="42" spans="1:5" x14ac:dyDescent="0.25">
      <c r="A42" s="52" t="s">
        <v>21</v>
      </c>
    </row>
  </sheetData>
  <mergeCells count="1">
    <mergeCell ref="A32:E33"/>
  </mergeCells>
  <pageMargins left="0.7" right="0.7" top="0.75" bottom="0.75" header="0.3" footer="0.3"/>
  <pageSetup paperSize="9" scale="9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0000"/>
  </sheetPr>
  <dimension ref="A2:C42"/>
  <sheetViews>
    <sheetView view="pageBreakPreview" topLeftCell="A25" zoomScaleNormal="100" zoomScaleSheetLayoutView="100" workbookViewId="0">
      <selection activeCell="L34" sqref="L34"/>
    </sheetView>
  </sheetViews>
  <sheetFormatPr defaultColWidth="11.5546875" defaultRowHeight="13.2" x14ac:dyDescent="0.25"/>
  <cols>
    <col min="1" max="1" width="56.6640625" style="4" customWidth="1"/>
    <col min="2" max="2" width="11.44140625" style="4" customWidth="1"/>
    <col min="3" max="3" width="16.33203125" style="4" customWidth="1"/>
    <col min="4" max="6" width="11.44140625" style="4" customWidth="1"/>
    <col min="7" max="7" width="11" style="4" customWidth="1"/>
    <col min="8" max="16384" width="11.5546875" style="4"/>
  </cols>
  <sheetData>
    <row r="2" spans="1:3" ht="11.25" customHeight="1" x14ac:dyDescent="0.25"/>
    <row r="3" spans="1:3" ht="12.75" customHeight="1" x14ac:dyDescent="0.25"/>
    <row r="4" spans="1:3" ht="12.75" customHeight="1" x14ac:dyDescent="0.25"/>
    <row r="5" spans="1:3" ht="12.75" customHeight="1" x14ac:dyDescent="0.25"/>
    <row r="6" spans="1:3" ht="12.75" customHeight="1" x14ac:dyDescent="0.25"/>
    <row r="7" spans="1:3" ht="12.75" customHeight="1" x14ac:dyDescent="0.25"/>
    <row r="8" spans="1:3" ht="12.75" customHeight="1" x14ac:dyDescent="0.25"/>
    <row r="14" spans="1:3" x14ac:dyDescent="0.25">
      <c r="A14" s="11">
        <v>44560</v>
      </c>
      <c r="B14" s="12" t="s">
        <v>84</v>
      </c>
      <c r="C14" s="13"/>
    </row>
    <row r="15" spans="1:3" x14ac:dyDescent="0.25">
      <c r="A15" s="14" t="s">
        <v>83</v>
      </c>
      <c r="B15" s="15" t="s">
        <v>85</v>
      </c>
      <c r="C15" s="5"/>
    </row>
    <row r="16" spans="1:3" x14ac:dyDescent="0.25">
      <c r="A16" s="14" t="s">
        <v>181</v>
      </c>
      <c r="B16" s="15" t="s">
        <v>86</v>
      </c>
      <c r="C16" s="5"/>
    </row>
    <row r="17" spans="1:3" x14ac:dyDescent="0.25">
      <c r="A17" s="14" t="s">
        <v>0</v>
      </c>
      <c r="B17" s="15" t="s">
        <v>87</v>
      </c>
      <c r="C17" s="5"/>
    </row>
    <row r="18" spans="1:3" x14ac:dyDescent="0.25">
      <c r="A18" s="14" t="s">
        <v>7</v>
      </c>
      <c r="B18" s="17" t="s">
        <v>202</v>
      </c>
      <c r="C18" s="18"/>
    </row>
    <row r="24" spans="1:3" ht="19.8" customHeight="1" x14ac:dyDescent="0.25">
      <c r="A24" s="103" t="s">
        <v>1</v>
      </c>
      <c r="B24" s="188" t="s">
        <v>59</v>
      </c>
      <c r="C24" s="189"/>
    </row>
    <row r="25" spans="1:3" ht="33" customHeight="1" x14ac:dyDescent="0.25">
      <c r="A25" s="39" t="s">
        <v>60</v>
      </c>
      <c r="B25" s="186">
        <f>+STATION!F52</f>
        <v>27706.799999999999</v>
      </c>
      <c r="C25" s="186"/>
    </row>
    <row r="26" spans="1:3" ht="33" customHeight="1" x14ac:dyDescent="0.25">
      <c r="A26" s="39" t="s">
        <v>61</v>
      </c>
      <c r="B26" s="186">
        <f>+'PVC ET GAG'!E28</f>
        <v>22179.599999999999</v>
      </c>
      <c r="C26" s="186"/>
    </row>
    <row r="27" spans="1:3" ht="33" customHeight="1" x14ac:dyDescent="0.25">
      <c r="A27" s="39" t="s">
        <v>62</v>
      </c>
      <c r="B27" s="186">
        <f>+'PVC ET GAG'!E38</f>
        <v>32412</v>
      </c>
      <c r="C27" s="186"/>
    </row>
    <row r="28" spans="1:3" ht="33" customHeight="1" x14ac:dyDescent="0.25">
      <c r="A28" s="40" t="s">
        <v>63</v>
      </c>
      <c r="B28" s="186">
        <f>+GEOMEMBRANE!E43</f>
        <v>46240</v>
      </c>
      <c r="C28" s="186"/>
    </row>
    <row r="29" spans="1:3" ht="33" customHeight="1" x14ac:dyDescent="0.25">
      <c r="A29" s="41" t="s">
        <v>64</v>
      </c>
      <c r="B29" s="186">
        <f>+AMENAGEMENT!E42</f>
        <v>24216</v>
      </c>
      <c r="C29" s="186"/>
    </row>
    <row r="30" spans="1:3" ht="33" customHeight="1" x14ac:dyDescent="0.25">
      <c r="A30" s="42" t="s">
        <v>65</v>
      </c>
      <c r="B30" s="186">
        <f>+'POMP IMMERGY'!E43</f>
        <v>33375.199999999997</v>
      </c>
      <c r="C30" s="186"/>
    </row>
    <row r="31" spans="1:3" ht="33" customHeight="1" x14ac:dyDescent="0.25">
      <c r="A31" s="223" t="s">
        <v>66</v>
      </c>
      <c r="B31" s="186">
        <f>+'POMP MONOBLOC'!E42</f>
        <v>18014</v>
      </c>
      <c r="C31" s="186"/>
    </row>
    <row r="32" spans="1:3" ht="33" customHeight="1" x14ac:dyDescent="0.25">
      <c r="A32" s="43" t="s">
        <v>67</v>
      </c>
      <c r="B32" s="186">
        <f>+TRANCHEES!E39</f>
        <v>7560</v>
      </c>
      <c r="C32" s="186"/>
    </row>
    <row r="33" spans="1:3" ht="33" customHeight="1" x14ac:dyDescent="0.25">
      <c r="A33" s="43" t="s">
        <v>78</v>
      </c>
      <c r="B33" s="186">
        <f>+ABRI!E38</f>
        <v>10800</v>
      </c>
      <c r="C33" s="186"/>
    </row>
    <row r="34" spans="1:3" ht="33" customHeight="1" x14ac:dyDescent="0.25">
      <c r="A34" s="43" t="s">
        <v>119</v>
      </c>
      <c r="B34" s="186">
        <f>+FORAG!E25</f>
        <v>106080</v>
      </c>
      <c r="C34" s="186"/>
    </row>
    <row r="35" spans="1:3" ht="19.8" customHeight="1" x14ac:dyDescent="0.25">
      <c r="A35" s="44" t="s">
        <v>32</v>
      </c>
      <c r="B35" s="187">
        <f>SUM(B25:C34)</f>
        <v>328583.59999999998</v>
      </c>
      <c r="C35" s="187"/>
    </row>
    <row r="38" spans="1:3" x14ac:dyDescent="0.25">
      <c r="B38" s="224"/>
      <c r="C38" s="225"/>
    </row>
    <row r="39" spans="1:3" x14ac:dyDescent="0.25">
      <c r="A39" s="224"/>
      <c r="C39" s="224"/>
    </row>
    <row r="42" spans="1:3" ht="36" customHeight="1" x14ac:dyDescent="0.25">
      <c r="A42" s="162" t="s">
        <v>129</v>
      </c>
      <c r="B42" s="162"/>
      <c r="C42" s="162"/>
    </row>
  </sheetData>
  <mergeCells count="13">
    <mergeCell ref="B24:C24"/>
    <mergeCell ref="B25:C25"/>
    <mergeCell ref="B26:C26"/>
    <mergeCell ref="B27:C27"/>
    <mergeCell ref="B30:C30"/>
    <mergeCell ref="B28:C28"/>
    <mergeCell ref="B29:C29"/>
    <mergeCell ref="B31:C31"/>
    <mergeCell ref="B32:C32"/>
    <mergeCell ref="B33:C33"/>
    <mergeCell ref="B35:C35"/>
    <mergeCell ref="A42:C42"/>
    <mergeCell ref="B34:C34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0B653-CFD2-491B-8B76-5B6C862E9E5A}">
  <sheetPr codeName="Feuil4">
    <tabColor theme="9" tint="0.39997558519241921"/>
    <pageSetUpPr fitToPage="1"/>
  </sheetPr>
  <dimension ref="A1:N43"/>
  <sheetViews>
    <sheetView view="pageBreakPreview" topLeftCell="A15" zoomScale="90" zoomScaleNormal="100" zoomScaleSheetLayoutView="90" workbookViewId="0">
      <selection activeCell="N14" sqref="N14"/>
    </sheetView>
  </sheetViews>
  <sheetFormatPr defaultColWidth="11.44140625" defaultRowHeight="13.2" x14ac:dyDescent="0.25"/>
  <cols>
    <col min="1" max="1" width="49.44140625" style="104" customWidth="1"/>
    <col min="2" max="10" width="15.5546875" style="104" customWidth="1"/>
    <col min="11" max="11" width="6.109375" style="104" customWidth="1"/>
    <col min="12" max="13" width="11" style="104" customWidth="1"/>
    <col min="14" max="14" width="5.6640625" style="104" customWidth="1"/>
    <col min="15" max="22" width="11" style="104" customWidth="1"/>
    <col min="23" max="16384" width="11.44140625" style="104"/>
  </cols>
  <sheetData>
    <row r="1" spans="1:14" ht="9.75" customHeight="1" x14ac:dyDescent="0.25"/>
    <row r="2" spans="1:14" ht="22.5" customHeight="1" x14ac:dyDescent="0.35">
      <c r="A2" s="105"/>
      <c r="B2" s="208" t="s">
        <v>144</v>
      </c>
      <c r="C2" s="209"/>
      <c r="D2" s="209"/>
      <c r="E2" s="209"/>
      <c r="F2" s="209"/>
      <c r="G2" s="210"/>
      <c r="H2" s="106"/>
      <c r="I2" s="105"/>
      <c r="J2" s="105"/>
    </row>
    <row r="3" spans="1:14" ht="12" customHeight="1" x14ac:dyDescent="0.3">
      <c r="A3" s="105"/>
      <c r="B3" s="105"/>
      <c r="C3" s="105"/>
      <c r="D3" s="105"/>
      <c r="E3" s="105"/>
      <c r="F3" s="105"/>
      <c r="G3" s="107"/>
      <c r="H3" s="105"/>
      <c r="I3" s="105"/>
      <c r="J3" s="105"/>
    </row>
    <row r="4" spans="1:14" s="109" customFormat="1" ht="16.5" customHeight="1" thickBot="1" x14ac:dyDescent="0.3">
      <c r="A4" s="108"/>
      <c r="B4" s="211" t="s">
        <v>145</v>
      </c>
      <c r="C4" s="212" t="str">
        <f>+STATION!E5</f>
        <v>Mr : AHMED BOUIRDNE</v>
      </c>
      <c r="D4" s="213"/>
      <c r="E4" s="216" t="s">
        <v>146</v>
      </c>
      <c r="F4" s="216"/>
      <c r="G4" s="216"/>
      <c r="H4" s="216"/>
      <c r="I4" s="108"/>
      <c r="J4" s="108"/>
    </row>
    <row r="5" spans="1:14" s="109" customFormat="1" ht="16.5" customHeight="1" x14ac:dyDescent="0.25">
      <c r="A5" s="108"/>
      <c r="B5" s="211"/>
      <c r="C5" s="214"/>
      <c r="D5" s="215"/>
      <c r="E5" s="217" t="s">
        <v>147</v>
      </c>
      <c r="F5" s="218"/>
      <c r="G5" s="110">
        <v>2.93</v>
      </c>
      <c r="H5" s="111" t="s">
        <v>148</v>
      </c>
      <c r="I5" s="108"/>
      <c r="J5" s="108"/>
      <c r="L5" s="112" t="s">
        <v>149</v>
      </c>
      <c r="M5" s="113">
        <v>4</v>
      </c>
    </row>
    <row r="6" spans="1:14" ht="16.5" customHeight="1" x14ac:dyDescent="0.3">
      <c r="A6" s="105"/>
      <c r="B6" s="105"/>
      <c r="D6" s="105"/>
      <c r="E6" s="219" t="s">
        <v>150</v>
      </c>
      <c r="F6" s="220"/>
      <c r="G6" s="114">
        <f>M9</f>
        <v>10.294117647058822</v>
      </c>
      <c r="H6" s="115" t="s">
        <v>151</v>
      </c>
      <c r="L6" s="116" t="s">
        <v>152</v>
      </c>
      <c r="M6" s="117">
        <v>10</v>
      </c>
    </row>
    <row r="7" spans="1:14" ht="16.5" customHeight="1" x14ac:dyDescent="0.3">
      <c r="A7" s="105"/>
      <c r="B7" s="105"/>
      <c r="C7" s="105"/>
      <c r="D7" s="105"/>
      <c r="E7" s="203" t="s">
        <v>153</v>
      </c>
      <c r="F7" s="204"/>
      <c r="G7" s="118">
        <v>1009</v>
      </c>
      <c r="H7" s="115" t="s">
        <v>154</v>
      </c>
      <c r="I7" s="105"/>
      <c r="J7" s="105"/>
      <c r="L7" s="119"/>
      <c r="M7" s="120"/>
    </row>
    <row r="8" spans="1:14" ht="16.5" customHeight="1" x14ac:dyDescent="0.3">
      <c r="A8" s="105"/>
      <c r="B8" s="105"/>
      <c r="C8" s="105"/>
      <c r="D8" s="105"/>
      <c r="E8" s="205" t="s">
        <v>155</v>
      </c>
      <c r="F8" s="205"/>
      <c r="G8" s="121">
        <v>100</v>
      </c>
      <c r="H8" s="115" t="s">
        <v>156</v>
      </c>
      <c r="I8" s="105"/>
      <c r="J8" s="105"/>
      <c r="L8" s="206" t="s">
        <v>157</v>
      </c>
      <c r="M8" s="117">
        <f>SUM(M5:M6)</f>
        <v>14</v>
      </c>
    </row>
    <row r="9" spans="1:14" ht="20.25" customHeight="1" thickBot="1" x14ac:dyDescent="0.35">
      <c r="A9" s="122"/>
      <c r="B9" s="105"/>
      <c r="C9" s="105"/>
      <c r="D9" s="105"/>
      <c r="E9" s="105"/>
      <c r="F9" s="105"/>
      <c r="G9" s="105"/>
      <c r="H9" s="123"/>
      <c r="I9" s="105"/>
      <c r="J9" s="105"/>
      <c r="L9" s="207"/>
      <c r="M9" s="124">
        <f>+M8/1.36</f>
        <v>10.294117647058822</v>
      </c>
    </row>
    <row r="10" spans="1:14" ht="36" customHeight="1" thickBot="1" x14ac:dyDescent="0.3">
      <c r="A10" s="125" t="s">
        <v>158</v>
      </c>
      <c r="B10" s="125" t="s">
        <v>159</v>
      </c>
      <c r="C10" s="125" t="s">
        <v>160</v>
      </c>
      <c r="D10" s="125" t="s">
        <v>3</v>
      </c>
      <c r="E10" s="125" t="s">
        <v>2</v>
      </c>
      <c r="F10" s="125" t="s">
        <v>161</v>
      </c>
      <c r="G10" s="125" t="s">
        <v>162</v>
      </c>
      <c r="H10" s="125" t="s">
        <v>163</v>
      </c>
      <c r="I10" s="125" t="s">
        <v>164</v>
      </c>
      <c r="J10" s="125" t="s">
        <v>165</v>
      </c>
      <c r="L10" s="126"/>
      <c r="M10" s="127"/>
    </row>
    <row r="11" spans="1:14" s="109" customFormat="1" ht="36" customHeight="1" thickBot="1" x14ac:dyDescent="0.3">
      <c r="A11" s="128" t="s">
        <v>115</v>
      </c>
      <c r="B11" s="129">
        <f>'TOTAL DEVIS '!B34:C34</f>
        <v>106080</v>
      </c>
      <c r="C11" s="130">
        <f t="shared" ref="C11:C15" si="0">+$G$8/100</f>
        <v>1</v>
      </c>
      <c r="D11" s="131">
        <f>+FORAG!C22</f>
        <v>136</v>
      </c>
      <c r="E11" s="132" t="s">
        <v>112</v>
      </c>
      <c r="F11" s="132">
        <f>B11*C11</f>
        <v>106080</v>
      </c>
      <c r="G11" s="133">
        <f t="shared" ref="G11:G15" si="1">F11/D11</f>
        <v>780</v>
      </c>
      <c r="H11" s="134">
        <f>+IF(G8=80,2000,2500)</f>
        <v>2500</v>
      </c>
      <c r="I11" s="135">
        <f t="shared" ref="I11:I15" si="2">+MIN(G11:H11)</f>
        <v>780</v>
      </c>
      <c r="J11" s="136">
        <f>+I11*D11</f>
        <v>106080</v>
      </c>
      <c r="L11" s="197">
        <f>G11/H11</f>
        <v>0.312</v>
      </c>
      <c r="M11" s="198"/>
      <c r="N11" s="104"/>
    </row>
    <row r="12" spans="1:14" s="109" customFormat="1" ht="36" customHeight="1" thickBot="1" x14ac:dyDescent="0.3">
      <c r="A12" s="128" t="s">
        <v>166</v>
      </c>
      <c r="B12" s="129">
        <f>+'TOTAL DEVIS '!B30:C30+'TOTAL DEVIS '!B31:C31</f>
        <v>51389.2</v>
      </c>
      <c r="C12" s="130">
        <f t="shared" si="0"/>
        <v>1</v>
      </c>
      <c r="D12" s="131">
        <f>+G6</f>
        <v>10.294117647058822</v>
      </c>
      <c r="E12" s="132" t="s">
        <v>167</v>
      </c>
      <c r="F12" s="132">
        <f>C12*B12</f>
        <v>51389.2</v>
      </c>
      <c r="G12" s="133">
        <f t="shared" si="1"/>
        <v>4992.0937142857147</v>
      </c>
      <c r="H12" s="134">
        <f>+IF(G8=80,4000,5000)</f>
        <v>5000</v>
      </c>
      <c r="I12" s="135">
        <f t="shared" si="2"/>
        <v>4992.0937142857147</v>
      </c>
      <c r="J12" s="136">
        <f t="shared" ref="J12:J15" si="3">I12*D12</f>
        <v>51389.2</v>
      </c>
      <c r="L12" s="197">
        <f t="shared" ref="L12:L15" si="4">G12/H12</f>
        <v>0.99841874285714294</v>
      </c>
      <c r="M12" s="198"/>
      <c r="N12" s="104"/>
    </row>
    <row r="13" spans="1:14" s="109" customFormat="1" ht="36" customHeight="1" thickBot="1" x14ac:dyDescent="0.3">
      <c r="A13" s="128" t="s">
        <v>168</v>
      </c>
      <c r="B13" s="129">
        <f>+'TOTAL DEVIS '!B33:C33+'TOTAL DEVIS '!B25:C25</f>
        <v>38506.800000000003</v>
      </c>
      <c r="C13" s="130">
        <f t="shared" si="0"/>
        <v>1</v>
      </c>
      <c r="D13" s="137">
        <f>+$G$5</f>
        <v>2.93</v>
      </c>
      <c r="E13" s="132" t="s">
        <v>148</v>
      </c>
      <c r="F13" s="132">
        <f>C13*B13</f>
        <v>38506.800000000003</v>
      </c>
      <c r="G13" s="133">
        <f t="shared" si="1"/>
        <v>13142.252559726963</v>
      </c>
      <c r="H13" s="134">
        <f>+IF(G8=80,5600,IF(G5&lt;=5,11000,7000))</f>
        <v>11000</v>
      </c>
      <c r="I13" s="135">
        <f t="shared" si="2"/>
        <v>11000</v>
      </c>
      <c r="J13" s="136">
        <f t="shared" si="3"/>
        <v>32230</v>
      </c>
      <c r="L13" s="197">
        <f t="shared" si="4"/>
        <v>1.1947502327024513</v>
      </c>
      <c r="M13" s="198"/>
      <c r="N13" s="104"/>
    </row>
    <row r="14" spans="1:14" s="109" customFormat="1" ht="36" customHeight="1" thickBot="1" x14ac:dyDescent="0.3">
      <c r="A14" s="128" t="s">
        <v>169</v>
      </c>
      <c r="B14" s="129">
        <f>+'TOTAL DEVIS '!B26:C26+'TOTAL DEVIS '!B32:C32</f>
        <v>29739.599999999999</v>
      </c>
      <c r="C14" s="130">
        <f t="shared" si="0"/>
        <v>1</v>
      </c>
      <c r="D14" s="137">
        <f t="shared" ref="D14:D15" si="5">+$G$5</f>
        <v>2.93</v>
      </c>
      <c r="E14" s="132" t="s">
        <v>148</v>
      </c>
      <c r="F14" s="132">
        <f>C14*B14</f>
        <v>29739.599999999999</v>
      </c>
      <c r="G14" s="133">
        <f t="shared" si="1"/>
        <v>10150.034129692831</v>
      </c>
      <c r="H14" s="134">
        <f>+IF(G8=80,9600,12000)</f>
        <v>12000</v>
      </c>
      <c r="I14" s="135">
        <f t="shared" si="2"/>
        <v>10150.034129692831</v>
      </c>
      <c r="J14" s="136">
        <f t="shared" si="3"/>
        <v>29739.599999999995</v>
      </c>
      <c r="L14" s="197">
        <f t="shared" si="4"/>
        <v>0.84583617747440254</v>
      </c>
      <c r="M14" s="198"/>
      <c r="N14" s="104"/>
    </row>
    <row r="15" spans="1:14" s="109" customFormat="1" ht="44.4" customHeight="1" thickBot="1" x14ac:dyDescent="0.3">
      <c r="A15" s="138" t="s">
        <v>170</v>
      </c>
      <c r="B15" s="129">
        <f>+'TOTAL DEVIS '!B27:C27</f>
        <v>32412</v>
      </c>
      <c r="C15" s="130">
        <f t="shared" si="0"/>
        <v>1</v>
      </c>
      <c r="D15" s="137">
        <f t="shared" si="5"/>
        <v>2.93</v>
      </c>
      <c r="E15" s="132" t="s">
        <v>148</v>
      </c>
      <c r="F15" s="132">
        <f>C15*B15</f>
        <v>32412</v>
      </c>
      <c r="G15" s="133">
        <f t="shared" si="1"/>
        <v>11062.116040955631</v>
      </c>
      <c r="H15" s="134">
        <f>+IF(G8=80,13600,17000)</f>
        <v>17000</v>
      </c>
      <c r="I15" s="135">
        <f t="shared" si="2"/>
        <v>11062.116040955631</v>
      </c>
      <c r="J15" s="136">
        <f t="shared" si="3"/>
        <v>32412</v>
      </c>
      <c r="L15" s="197">
        <f t="shared" si="4"/>
        <v>0.65071270829150762</v>
      </c>
      <c r="M15" s="198"/>
      <c r="N15" s="104"/>
    </row>
    <row r="16" spans="1:14" ht="21.75" customHeight="1" x14ac:dyDescent="0.25">
      <c r="A16" s="139" t="s">
        <v>171</v>
      </c>
      <c r="B16" s="131">
        <f>+SUM(B11:B15)</f>
        <v>258127.6</v>
      </c>
      <c r="C16" s="140"/>
      <c r="D16" s="140"/>
      <c r="E16" s="140"/>
      <c r="F16" s="132">
        <f>SUM(F11:F15)</f>
        <v>258127.6</v>
      </c>
      <c r="G16" s="199" t="s">
        <v>172</v>
      </c>
      <c r="H16" s="200"/>
      <c r="I16" s="201"/>
      <c r="J16" s="136">
        <f>SUM(J11:J15)</f>
        <v>251850.80000000002</v>
      </c>
    </row>
    <row r="17" spans="1:14" ht="17.25" customHeight="1" x14ac:dyDescent="0.25">
      <c r="A17" s="141"/>
      <c r="B17" s="140"/>
      <c r="C17" s="140" t="s">
        <v>173</v>
      </c>
      <c r="D17" s="140"/>
      <c r="E17" s="140"/>
      <c r="F17" s="140"/>
      <c r="G17" s="191" t="s">
        <v>174</v>
      </c>
      <c r="H17" s="191"/>
      <c r="I17" s="191"/>
      <c r="J17" s="142">
        <f>J16/D15</f>
        <v>85955.904436860073</v>
      </c>
      <c r="L17" s="109"/>
    </row>
    <row r="18" spans="1:14" ht="17.25" customHeight="1" x14ac:dyDescent="0.25">
      <c r="A18" s="141"/>
      <c r="B18" s="140"/>
      <c r="C18" s="140"/>
      <c r="D18" s="140"/>
      <c r="E18" s="140"/>
      <c r="F18" s="140" t="s">
        <v>173</v>
      </c>
      <c r="G18" s="202" t="s">
        <v>175</v>
      </c>
      <c r="H18" s="202"/>
      <c r="I18" s="202"/>
      <c r="J18" s="143">
        <f>+IF(G8=80,3600,45000)</f>
        <v>45000</v>
      </c>
      <c r="L18" s="109"/>
    </row>
    <row r="19" spans="1:14" ht="17.25" customHeight="1" x14ac:dyDescent="0.25">
      <c r="E19" s="140"/>
      <c r="F19" s="140"/>
      <c r="G19" s="191" t="s">
        <v>176</v>
      </c>
      <c r="H19" s="191"/>
      <c r="I19" s="191"/>
      <c r="J19" s="142">
        <f>MIN(J17:J18)</f>
        <v>45000</v>
      </c>
      <c r="L19" s="109"/>
    </row>
    <row r="20" spans="1:14" ht="17.25" customHeight="1" x14ac:dyDescent="0.25">
      <c r="E20" s="140"/>
      <c r="F20" s="140"/>
      <c r="G20" s="191" t="s">
        <v>177</v>
      </c>
      <c r="H20" s="191"/>
      <c r="I20" s="191"/>
      <c r="J20" s="144">
        <f>J19*G5</f>
        <v>131850</v>
      </c>
    </row>
    <row r="21" spans="1:14" ht="15" customHeight="1" x14ac:dyDescent="0.25">
      <c r="A21" s="140"/>
      <c r="B21" s="140"/>
      <c r="C21" s="140"/>
      <c r="D21" s="140"/>
      <c r="E21" s="140"/>
      <c r="F21" s="145"/>
      <c r="G21" s="140"/>
      <c r="H21" s="140"/>
      <c r="I21" s="140"/>
      <c r="J21" s="140"/>
    </row>
    <row r="22" spans="1:14" ht="36" customHeight="1" thickBot="1" x14ac:dyDescent="0.3">
      <c r="A22" s="125" t="s">
        <v>158</v>
      </c>
      <c r="B22" s="125" t="s">
        <v>159</v>
      </c>
      <c r="C22" s="125" t="s">
        <v>160</v>
      </c>
      <c r="D22" s="125" t="s">
        <v>3</v>
      </c>
      <c r="E22" s="125" t="s">
        <v>2</v>
      </c>
      <c r="F22" s="125" t="s">
        <v>161</v>
      </c>
      <c r="G22" s="125" t="s">
        <v>162</v>
      </c>
      <c r="H22" s="125" t="s">
        <v>163</v>
      </c>
      <c r="I22" s="125" t="s">
        <v>164</v>
      </c>
      <c r="J22" s="125" t="s">
        <v>165</v>
      </c>
      <c r="L22" s="126"/>
      <c r="M22" s="127"/>
    </row>
    <row r="23" spans="1:14" s="150" customFormat="1" ht="36" customHeight="1" thickBot="1" x14ac:dyDescent="0.3">
      <c r="A23" s="146" t="s">
        <v>178</v>
      </c>
      <c r="B23" s="147">
        <f>+'TOTAL DEVIS '!B28:C28+'TOTAL DEVIS '!B29:C29</f>
        <v>70456</v>
      </c>
      <c r="C23" s="130">
        <f t="shared" ref="C23" si="6">+$G$8/100</f>
        <v>1</v>
      </c>
      <c r="D23" s="148">
        <f>G7</f>
        <v>1009</v>
      </c>
      <c r="E23" s="148" t="s">
        <v>154</v>
      </c>
      <c r="F23" s="148">
        <f>B23*C23</f>
        <v>70456</v>
      </c>
      <c r="G23" s="148">
        <f>F23/D23</f>
        <v>69.827552031714575</v>
      </c>
      <c r="H23" s="134">
        <f>+IF(G16=80,35,IF(G5&lt;=5,60,40))</f>
        <v>60</v>
      </c>
      <c r="I23" s="135">
        <f t="shared" ref="I23" si="7">+MIN(G23:H23)</f>
        <v>60</v>
      </c>
      <c r="J23" s="149">
        <f>MIN(20000*G5,I23*D23)</f>
        <v>58600</v>
      </c>
      <c r="L23" s="192">
        <f>(I23*D23)/G5</f>
        <v>20662.116040955629</v>
      </c>
      <c r="M23" s="193"/>
      <c r="N23" s="104"/>
    </row>
    <row r="24" spans="1:14" ht="21.75" customHeight="1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</row>
    <row r="25" spans="1:14" ht="15" customHeight="1" x14ac:dyDescent="0.25">
      <c r="A25" s="151" t="s">
        <v>179</v>
      </c>
      <c r="B25" s="194">
        <f>IF(G8=100,G5*65000,G5*52000)</f>
        <v>190450</v>
      </c>
      <c r="C25" s="194"/>
      <c r="D25" s="195">
        <f>B26/B25</f>
        <v>1</v>
      </c>
      <c r="E25" s="140"/>
      <c r="F25" s="145"/>
      <c r="G25" s="140"/>
      <c r="H25" s="140"/>
      <c r="I25" s="140"/>
      <c r="J25" s="140"/>
    </row>
    <row r="26" spans="1:14" ht="15" customHeight="1" x14ac:dyDescent="0.25">
      <c r="A26" s="151" t="s">
        <v>180</v>
      </c>
      <c r="B26" s="194">
        <f>J20+J23</f>
        <v>190450</v>
      </c>
      <c r="C26" s="194"/>
      <c r="D26" s="195"/>
      <c r="E26" s="140"/>
      <c r="F26" s="145"/>
      <c r="G26" s="140"/>
      <c r="H26" s="140"/>
      <c r="I26" s="140"/>
      <c r="J26" s="140"/>
    </row>
    <row r="27" spans="1:14" ht="15" customHeight="1" x14ac:dyDescent="0.25">
      <c r="A27" s="140"/>
      <c r="B27" s="140"/>
      <c r="C27" s="140"/>
      <c r="D27" s="140"/>
      <c r="E27" s="140"/>
      <c r="F27" s="145"/>
      <c r="G27" s="140"/>
      <c r="H27" s="140"/>
      <c r="I27" s="140"/>
      <c r="J27" s="140"/>
    </row>
    <row r="28" spans="1:14" ht="17.25" customHeight="1" x14ac:dyDescent="0.3">
      <c r="F28" s="152"/>
      <c r="G28" s="153"/>
      <c r="H28" s="123"/>
      <c r="I28" s="154"/>
      <c r="J28" s="153"/>
    </row>
    <row r="29" spans="1:14" ht="17.25" customHeight="1" x14ac:dyDescent="0.3">
      <c r="F29" s="153"/>
      <c r="G29" s="153"/>
      <c r="H29" s="123"/>
      <c r="I29" s="153"/>
    </row>
    <row r="30" spans="1:14" ht="17.25" customHeight="1" x14ac:dyDescent="0.3">
      <c r="A30" s="154"/>
      <c r="B30" s="153"/>
      <c r="D30" s="155"/>
      <c r="E30" s="153"/>
      <c r="F30" s="153"/>
      <c r="G30" s="153"/>
      <c r="H30" s="123"/>
      <c r="I30" s="153"/>
    </row>
    <row r="31" spans="1:14" ht="17.25" customHeight="1" x14ac:dyDescent="0.3">
      <c r="A31" s="154"/>
      <c r="B31" s="153"/>
      <c r="C31" s="152"/>
      <c r="D31" s="152"/>
      <c r="E31" s="153"/>
      <c r="F31" s="153"/>
      <c r="G31" s="153"/>
      <c r="H31" s="123"/>
      <c r="I31" s="154"/>
      <c r="J31" s="153"/>
    </row>
    <row r="32" spans="1:14" ht="15" customHeight="1" x14ac:dyDescent="0.3">
      <c r="A32" s="153"/>
      <c r="B32" s="153"/>
      <c r="E32" s="153"/>
      <c r="F32" s="153"/>
      <c r="G32" s="153"/>
      <c r="H32" s="123"/>
      <c r="I32" s="153"/>
      <c r="J32" s="153"/>
    </row>
    <row r="33" spans="1:11" ht="15" customHeight="1" x14ac:dyDescent="0.3">
      <c r="A33" s="105"/>
      <c r="B33" s="153"/>
      <c r="E33" s="153"/>
      <c r="F33" s="153"/>
      <c r="G33" s="153"/>
      <c r="H33" s="123"/>
      <c r="I33" s="153"/>
    </row>
    <row r="34" spans="1:11" ht="15" customHeight="1" x14ac:dyDescent="0.3">
      <c r="A34" s="153"/>
      <c r="B34" s="153"/>
      <c r="C34" s="196"/>
      <c r="D34" s="196"/>
      <c r="E34" s="153"/>
      <c r="F34" s="153"/>
      <c r="G34" s="153"/>
      <c r="H34" s="123"/>
      <c r="I34" s="153"/>
    </row>
    <row r="35" spans="1:11" ht="15" customHeight="1" x14ac:dyDescent="0.3">
      <c r="A35" s="153"/>
      <c r="B35" s="153"/>
      <c r="C35" s="153"/>
      <c r="D35" s="153"/>
      <c r="E35" s="153"/>
      <c r="F35" s="153"/>
      <c r="G35" s="153"/>
      <c r="H35" s="123"/>
      <c r="I35" s="153"/>
      <c r="J35" s="153"/>
    </row>
    <row r="36" spans="1:11" ht="15" customHeight="1" thickBot="1" x14ac:dyDescent="0.35">
      <c r="A36" s="154"/>
      <c r="B36" s="153"/>
      <c r="C36" s="153"/>
      <c r="D36" s="153"/>
      <c r="E36" s="153"/>
      <c r="F36" s="153"/>
      <c r="G36" s="153"/>
      <c r="H36" s="123"/>
      <c r="I36" s="154"/>
      <c r="J36" s="153"/>
    </row>
    <row r="37" spans="1:11" ht="15" customHeight="1" x14ac:dyDescent="0.3">
      <c r="A37" s="154"/>
      <c r="B37" s="156">
        <f>D25</f>
        <v>1</v>
      </c>
      <c r="C37" s="153"/>
      <c r="D37" s="153"/>
      <c r="E37" s="153"/>
      <c r="F37" s="153"/>
      <c r="H37" s="156">
        <f>(J20+J23)/(B16+B23)</f>
        <v>0.57960896405054918</v>
      </c>
      <c r="I37" s="154"/>
      <c r="K37" s="190"/>
    </row>
    <row r="38" spans="1:11" ht="15" customHeight="1" thickBot="1" x14ac:dyDescent="0.35">
      <c r="A38" s="153"/>
      <c r="B38" s="157">
        <f>1-B37</f>
        <v>0</v>
      </c>
      <c r="C38" s="153"/>
      <c r="D38" s="153"/>
      <c r="E38" s="153"/>
      <c r="F38" s="153"/>
      <c r="H38" s="157">
        <f>1-H37</f>
        <v>0.42039103594945082</v>
      </c>
      <c r="I38" s="153"/>
      <c r="K38" s="190"/>
    </row>
    <row r="39" spans="1:11" ht="15" customHeight="1" x14ac:dyDescent="0.25"/>
    <row r="40" spans="1:11" ht="15" customHeight="1" x14ac:dyDescent="0.25"/>
    <row r="41" spans="1:11" ht="15" customHeight="1" x14ac:dyDescent="0.25"/>
    <row r="42" spans="1:11" ht="15" customHeight="1" x14ac:dyDescent="0.25"/>
    <row r="43" spans="1:11" ht="15" customHeight="1" x14ac:dyDescent="0.25"/>
  </sheetData>
  <mergeCells count="25">
    <mergeCell ref="E6:F6"/>
    <mergeCell ref="B2:G2"/>
    <mergeCell ref="B4:B5"/>
    <mergeCell ref="C4:D5"/>
    <mergeCell ref="E4:H4"/>
    <mergeCell ref="E5:F5"/>
    <mergeCell ref="G19:I19"/>
    <mergeCell ref="E7:F7"/>
    <mergeCell ref="E8:F8"/>
    <mergeCell ref="L8:L9"/>
    <mergeCell ref="L11:M11"/>
    <mergeCell ref="L12:M12"/>
    <mergeCell ref="L13:M13"/>
    <mergeCell ref="L14:M14"/>
    <mergeCell ref="L15:M15"/>
    <mergeCell ref="G16:I16"/>
    <mergeCell ref="G17:I17"/>
    <mergeCell ref="G18:I18"/>
    <mergeCell ref="K37:K38"/>
    <mergeCell ref="G20:I20"/>
    <mergeCell ref="L23:M23"/>
    <mergeCell ref="B25:C25"/>
    <mergeCell ref="D25:D26"/>
    <mergeCell ref="B26:C26"/>
    <mergeCell ref="C34:D34"/>
  </mergeCells>
  <conditionalFormatting sqref="L11:M15">
    <cfRule type="cellIs" dxfId="0" priority="2" operator="greaterThan">
      <formula>1.000001</formula>
    </cfRule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{63597B54-45AE-4D6D-BD76-34D3FE516945}</x14:id>
        </ext>
      </extLst>
    </cfRule>
  </conditionalFormatting>
  <conditionalFormatting sqref="L23">
    <cfRule type="dataBar" priority="1">
      <dataBar>
        <cfvo type="num" val="0"/>
        <cfvo type="num" val="IF($G$8=80,16000,20000)"/>
        <color rgb="FF00B050"/>
      </dataBar>
      <extLst>
        <ext xmlns:x14="http://schemas.microsoft.com/office/spreadsheetml/2009/9/main" uri="{B025F937-C7B1-47D3-B67F-A62EFF666E3E}">
          <x14:id>{BEC896CA-F393-415C-80C4-7EB0C4577CDD}</x14:id>
        </ext>
      </extLst>
    </cfRule>
  </conditionalFormatting>
  <dataValidations count="1">
    <dataValidation type="list" allowBlank="1" showInputMessage="1" showErrorMessage="1" sqref="G8" xr:uid="{2A754204-CD93-4D64-9B3F-3C53865C9269}">
      <formula1>"100,80"</formula1>
    </dataValidation>
  </dataValidations>
  <pageMargins left="1" right="0.7" top="0.75" bottom="0.75" header="0.3" footer="0.3"/>
  <pageSetup paperSize="9" scale="68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597B54-45AE-4D6D-BD76-34D3FE5169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L11:M15</xm:sqref>
        </x14:conditionalFormatting>
        <x14:conditionalFormatting xmlns:xm="http://schemas.microsoft.com/office/excel/2006/main">
          <x14:cfRule type="dataBar" id="{BEC896CA-F393-415C-80C4-7EB0C4577CDD}">
            <x14:dataBar minLength="0" maxLength="100" gradient="0" direction="leftToRight">
              <x14:cfvo type="num">
                <xm:f>0</xm:f>
              </x14:cfvo>
              <x14:cfvo type="num">
                <xm:f>IF($G$8=80,16000,20000)</xm:f>
              </x14:cfvo>
              <x14:negativeFillColor rgb="FFFF0000"/>
              <x14:axisColor rgb="FF000000"/>
            </x14:dataBar>
          </x14:cfRule>
          <xm:sqref>L23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STATION</vt:lpstr>
      <vt:lpstr>PVC ET GAG</vt:lpstr>
      <vt:lpstr>GEOMEMBRANE</vt:lpstr>
      <vt:lpstr>POMP IMMERGY</vt:lpstr>
      <vt:lpstr>POMP MONOBLOC</vt:lpstr>
      <vt:lpstr>AMENAGEMENT</vt:lpstr>
      <vt:lpstr>TRANCHEES</vt:lpstr>
      <vt:lpstr>ABRI</vt:lpstr>
      <vt:lpstr>FORAG</vt:lpstr>
      <vt:lpstr>TOTAL DEVIS </vt:lpstr>
      <vt:lpstr>Subvention</vt:lpstr>
      <vt:lpstr>'POMP IMMERGY'!Print_Area</vt:lpstr>
      <vt:lpstr>Subvention!Print_Area</vt:lpstr>
    </vt:vector>
  </TitlesOfParts>
  <Company>2005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anas</cp:lastModifiedBy>
  <cp:lastPrinted>2023-06-15T11:09:18Z</cp:lastPrinted>
  <dcterms:created xsi:type="dcterms:W3CDTF">2010-02-26T05:49:00Z</dcterms:created>
  <dcterms:modified xsi:type="dcterms:W3CDTF">2023-06-19T10:52:43Z</dcterms:modified>
</cp:coreProperties>
</file>