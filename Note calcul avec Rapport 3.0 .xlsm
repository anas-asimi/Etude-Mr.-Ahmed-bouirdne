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98" codeName="{3D1A710C-6663-3D7B-7F91-EC182F24A4BC}"/>
  <workbookPr updateLinks="never" codeName="ThisWorkbook"/>
  <mc:AlternateContent xmlns:mc="http://schemas.openxmlformats.org/markup-compatibility/2006">
    <mc:Choice Requires="x15">
      <x15ac:absPath xmlns:x15ac="http://schemas.microsoft.com/office/spreadsheetml/2010/11/ac" url="G:\My Drive\Irrigation\DPA Sidi Ifni\FDA\BOUIRDNE Ahmed\Etude\"/>
    </mc:Choice>
  </mc:AlternateContent>
  <xr:revisionPtr revIDLastSave="0" documentId="13_ncr:1_{7A2C5B99-3C41-441C-B183-83B1A053E22F}" xr6:coauthVersionLast="36" xr6:coauthVersionMax="47" xr10:uidLastSave="{00000000-0000-0000-0000-000000000000}"/>
  <bookViews>
    <workbookView xWindow="-120" yWindow="-120" windowWidth="20736" windowHeight="11160" tabRatio="602" activeTab="3" xr2:uid="{00000000-000D-0000-FFFF-FFFF00000000}"/>
  </bookViews>
  <sheets>
    <sheet name="Diamétre Interieur" sheetId="4" r:id="rId1"/>
    <sheet name="Parametre" sheetId="5" r:id="rId2"/>
    <sheet name="Calcul Hyd" sheetId="3" r:id="rId3"/>
    <sheet name="Rapport" sheetId="1" r:id="rId4"/>
    <sheet name="Engagement" sheetId="11" r:id="rId5"/>
    <sheet name="Declaration 1" sheetId="13" r:id="rId6"/>
    <sheet name="Declaration 2" sheetId="15" state="hidden" r:id="rId7"/>
    <sheet name="Besoin" sheetId="16" r:id="rId8"/>
  </sheets>
  <functionGroups builtInGroupCount="19"/>
  <definedNames>
    <definedName name="Client">Rapport!$G$21</definedName>
    <definedName name="forage_111">Rapport!$A$336</definedName>
    <definedName name="forage_112">Rapport!$A$373</definedName>
    <definedName name="forage_222">Rapport!$A$112</definedName>
    <definedName name="forage2">Rapport!$G$117:$H$123</definedName>
    <definedName name="marai1">Rapport!$B$102:$K$102</definedName>
    <definedName name="marai2">Rapport!$H$139:$I$148</definedName>
    <definedName name="marai3">Rapport!$H$155:$I$158</definedName>
    <definedName name="marai4">Rapport!$A$190</definedName>
    <definedName name="marai5">Rapport!$A$193</definedName>
    <definedName name="olivier1">Rapport!$B$101:$K$101</definedName>
    <definedName name="olivier2">Rapport!$F$139:$G$148</definedName>
    <definedName name="olivier3">Rapport!$F$155:$G$158</definedName>
    <definedName name="_xlnm.Print_Area" localSheetId="7">Besoin!$A$1:$O$52</definedName>
    <definedName name="_xlnm.Print_Area" localSheetId="5">'Declaration 1'!$A$1:$L$42</definedName>
    <definedName name="_xlnm.Print_Area" localSheetId="6">'Declaration 2'!$A$1:$L$41</definedName>
    <definedName name="_xlnm.Print_Area" localSheetId="4">Engagement!$A$1:$M$40</definedName>
    <definedName name="_xlnm.Print_Area" localSheetId="3">Rapport!$A$1:$M$452</definedName>
    <definedName name="secteurs_01">Rapport!$H$172</definedName>
    <definedName name="secteurs_1">Rapport!$H$172</definedName>
    <definedName name="secteurs1">Rapport!$H$182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22" i="1" l="1"/>
  <c r="S120" i="1"/>
  <c r="S119" i="1"/>
  <c r="C10" i="16" l="1"/>
  <c r="B276" i="1"/>
  <c r="B277" i="1"/>
  <c r="I277" i="1" s="1"/>
  <c r="B279" i="1"/>
  <c r="B280" i="1"/>
  <c r="I280" i="1" s="1"/>
  <c r="B281" i="1"/>
  <c r="B282" i="1"/>
  <c r="I282" i="1" s="1"/>
  <c r="B283" i="1"/>
  <c r="I283" i="1" s="1"/>
  <c r="P271" i="1"/>
  <c r="D254" i="1"/>
  <c r="N239" i="1"/>
  <c r="D239" i="1"/>
  <c r="K239" i="1" s="1"/>
  <c r="F223" i="1"/>
  <c r="I223" i="1" s="1"/>
  <c r="F222" i="1"/>
  <c r="I222" i="1" s="1"/>
  <c r="E16" i="3"/>
  <c r="E17" i="3"/>
  <c r="E18" i="3"/>
  <c r="E19" i="3"/>
  <c r="I8" i="3"/>
  <c r="J8" i="3" s="1"/>
  <c r="A276" i="1"/>
  <c r="I281" i="1" l="1"/>
  <c r="D281" i="1"/>
  <c r="F281" i="1"/>
  <c r="F282" i="1"/>
  <c r="D280" i="1"/>
  <c r="F280" i="1"/>
  <c r="D283" i="1"/>
  <c r="F283" i="1"/>
  <c r="D282" i="1"/>
  <c r="D277" i="1"/>
  <c r="F277" i="1"/>
  <c r="D276" i="1"/>
  <c r="I276" i="1"/>
  <c r="F276" i="1"/>
  <c r="J239" i="1"/>
  <c r="H223" i="1"/>
  <c r="H222" i="1"/>
  <c r="B102" i="1"/>
  <c r="E5" i="5" s="1"/>
  <c r="K4" i="3"/>
  <c r="L4" i="3" s="1"/>
  <c r="E15" i="5" l="1"/>
  <c r="E6" i="5"/>
  <c r="E10" i="5"/>
  <c r="E14" i="5"/>
  <c r="E11" i="5"/>
  <c r="E13" i="5"/>
  <c r="E12" i="5"/>
  <c r="R4" i="3"/>
  <c r="S4" i="3" s="1"/>
  <c r="B278" i="1"/>
  <c r="E16" i="5" l="1"/>
  <c r="Q127" i="1"/>
  <c r="R128" i="1" s="1"/>
  <c r="R129" i="1" s="1"/>
  <c r="D255" i="1" l="1"/>
  <c r="N240" i="1"/>
  <c r="D240" i="1"/>
  <c r="J240" i="1" s="1"/>
  <c r="K240" i="1" l="1"/>
  <c r="F279" i="1" l="1"/>
  <c r="D279" i="1"/>
  <c r="I279" i="1"/>
  <c r="P272" i="1" l="1"/>
  <c r="I278" i="1" l="1"/>
  <c r="F278" i="1"/>
  <c r="D278" i="1"/>
  <c r="G27" i="1" l="1"/>
  <c r="A218" i="1"/>
  <c r="B293" i="1"/>
  <c r="A252" i="1"/>
  <c r="A237" i="1"/>
  <c r="C457" i="1"/>
  <c r="A263" i="1"/>
  <c r="H181" i="1" l="1"/>
  <c r="A264" i="1"/>
  <c r="C458" i="1"/>
  <c r="A238" i="1"/>
  <c r="B294" i="1"/>
  <c r="A220" i="1"/>
  <c r="C459" i="1"/>
  <c r="C460" i="1" s="1"/>
  <c r="A253" i="1"/>
  <c r="E460" i="1" l="1"/>
  <c r="Q473" i="1"/>
  <c r="N219" i="1"/>
  <c r="A254" i="1"/>
  <c r="A255" i="1" s="1"/>
  <c r="A222" i="1"/>
  <c r="B295" i="1"/>
  <c r="B296" i="1" s="1"/>
  <c r="A265" i="1"/>
  <c r="A266" i="1" s="1"/>
  <c r="N221" i="1"/>
  <c r="N220" i="1"/>
  <c r="A239" i="1"/>
  <c r="A224" i="1"/>
  <c r="N222" i="1"/>
  <c r="N223" i="1"/>
  <c r="A240" i="1"/>
  <c r="G460" i="1" l="1"/>
  <c r="M460" i="1"/>
  <c r="F225" i="1"/>
  <c r="H225" i="1" s="1"/>
  <c r="N225" i="1"/>
  <c r="O339" i="1"/>
  <c r="I225" i="1" l="1"/>
  <c r="N44" i="16"/>
  <c r="M44" i="16"/>
  <c r="L44" i="16"/>
  <c r="K44" i="16"/>
  <c r="J44" i="16"/>
  <c r="I44" i="16"/>
  <c r="H44" i="16"/>
  <c r="G44" i="16"/>
  <c r="F44" i="16"/>
  <c r="E44" i="16"/>
  <c r="D44" i="16"/>
  <c r="C44" i="16"/>
  <c r="C39" i="16"/>
  <c r="O39" i="16" s="1"/>
  <c r="D35" i="16"/>
  <c r="E35" i="16" s="1"/>
  <c r="F35" i="16" s="1"/>
  <c r="G35" i="16" s="1"/>
  <c r="H35" i="16" s="1"/>
  <c r="I35" i="16" s="1"/>
  <c r="J35" i="16" s="1"/>
  <c r="K35" i="16" s="1"/>
  <c r="L35" i="16" s="1"/>
  <c r="N34" i="16"/>
  <c r="M34" i="16"/>
  <c r="L34" i="16"/>
  <c r="K34" i="16"/>
  <c r="J34" i="16"/>
  <c r="I34" i="16"/>
  <c r="H34" i="16"/>
  <c r="G34" i="16"/>
  <c r="F34" i="16"/>
  <c r="E34" i="16"/>
  <c r="D34" i="16"/>
  <c r="C34" i="16"/>
  <c r="C36" i="16" s="1"/>
  <c r="C37" i="16" s="1"/>
  <c r="C38" i="16" s="1"/>
  <c r="D27" i="16"/>
  <c r="E27" i="16" s="1"/>
  <c r="F27" i="16" s="1"/>
  <c r="G27" i="16" s="1"/>
  <c r="H27" i="16" s="1"/>
  <c r="I27" i="16" s="1"/>
  <c r="J27" i="16" s="1"/>
  <c r="K27" i="16" s="1"/>
  <c r="L27" i="16" s="1"/>
  <c r="M27" i="16" s="1"/>
  <c r="N26" i="16"/>
  <c r="M26" i="16"/>
  <c r="L26" i="16"/>
  <c r="K26" i="16"/>
  <c r="J26" i="16"/>
  <c r="I26" i="16"/>
  <c r="H26" i="16"/>
  <c r="G26" i="16"/>
  <c r="F26" i="16"/>
  <c r="E26" i="16"/>
  <c r="D26" i="16"/>
  <c r="C26" i="16"/>
  <c r="C28" i="16" s="1"/>
  <c r="C29" i="16" s="1"/>
  <c r="C30" i="16" s="1"/>
  <c r="D19" i="16"/>
  <c r="E19" i="16" s="1"/>
  <c r="F19" i="16" s="1"/>
  <c r="N18" i="16"/>
  <c r="M18" i="16"/>
  <c r="L18" i="16"/>
  <c r="K18" i="16"/>
  <c r="J18" i="16"/>
  <c r="I18" i="16"/>
  <c r="H18" i="16"/>
  <c r="G18" i="16"/>
  <c r="F18" i="16"/>
  <c r="E18" i="16"/>
  <c r="D18" i="16"/>
  <c r="C18" i="16"/>
  <c r="C20" i="16" s="1"/>
  <c r="C21" i="16" s="1"/>
  <c r="C22" i="16" s="1"/>
  <c r="N10" i="16"/>
  <c r="M10" i="16"/>
  <c r="L10" i="16"/>
  <c r="K10" i="16"/>
  <c r="J10" i="16"/>
  <c r="I10" i="16"/>
  <c r="H10" i="16"/>
  <c r="G10" i="16"/>
  <c r="F10" i="16"/>
  <c r="E10" i="16"/>
  <c r="D10" i="16"/>
  <c r="C12" i="16"/>
  <c r="C13" i="16" s="1"/>
  <c r="C14" i="16" s="1"/>
  <c r="O8" i="16"/>
  <c r="N6" i="16"/>
  <c r="M6" i="16"/>
  <c r="L6" i="16"/>
  <c r="K6" i="16"/>
  <c r="J6" i="16"/>
  <c r="I6" i="16"/>
  <c r="H6" i="16"/>
  <c r="G6" i="16"/>
  <c r="F6" i="16"/>
  <c r="E6" i="16"/>
  <c r="D6" i="16"/>
  <c r="C6" i="16"/>
  <c r="O5" i="16"/>
  <c r="O44" i="16" s="1"/>
  <c r="N224" i="1"/>
  <c r="O6" i="16" l="1"/>
  <c r="G36" i="16"/>
  <c r="G37" i="16" s="1"/>
  <c r="G38" i="16" s="1"/>
  <c r="D28" i="16"/>
  <c r="D29" i="16" s="1"/>
  <c r="D30" i="16" s="1"/>
  <c r="H28" i="16"/>
  <c r="H29" i="16" s="1"/>
  <c r="H30" i="16" s="1"/>
  <c r="E36" i="16"/>
  <c r="E37" i="16" s="1"/>
  <c r="E38" i="16" s="1"/>
  <c r="D20" i="16"/>
  <c r="D21" i="16" s="1"/>
  <c r="D22" i="16" s="1"/>
  <c r="E20" i="16"/>
  <c r="E21" i="16" s="1"/>
  <c r="E22" i="16" s="1"/>
  <c r="N27" i="16"/>
  <c r="N28" i="16" s="1"/>
  <c r="N29" i="16" s="1"/>
  <c r="N30" i="16" s="1"/>
  <c r="M28" i="16"/>
  <c r="M29" i="16" s="1"/>
  <c r="M30" i="16" s="1"/>
  <c r="G19" i="16"/>
  <c r="H19" i="16" s="1"/>
  <c r="I19" i="16" s="1"/>
  <c r="J19" i="16" s="1"/>
  <c r="F20" i="16"/>
  <c r="F21" i="16" s="1"/>
  <c r="F22" i="16" s="1"/>
  <c r="E12" i="16"/>
  <c r="E13" i="16" s="1"/>
  <c r="E14" i="16" s="1"/>
  <c r="M35" i="16"/>
  <c r="N35" i="16" s="1"/>
  <c r="N36" i="16" s="1"/>
  <c r="N37" i="16" s="1"/>
  <c r="N38" i="16" s="1"/>
  <c r="L36" i="16"/>
  <c r="L37" i="16" s="1"/>
  <c r="L38" i="16" s="1"/>
  <c r="D12" i="16"/>
  <c r="D13" i="16" s="1"/>
  <c r="D14" i="16" s="1"/>
  <c r="F28" i="16"/>
  <c r="F29" i="16" s="1"/>
  <c r="F30" i="16" s="1"/>
  <c r="J28" i="16"/>
  <c r="J29" i="16" s="1"/>
  <c r="J30" i="16" s="1"/>
  <c r="I36" i="16"/>
  <c r="I37" i="16" s="1"/>
  <c r="I38" i="16" s="1"/>
  <c r="G28" i="16"/>
  <c r="G29" i="16" s="1"/>
  <c r="G30" i="16" s="1"/>
  <c r="K28" i="16"/>
  <c r="K29" i="16" s="1"/>
  <c r="K30" i="16" s="1"/>
  <c r="E28" i="16"/>
  <c r="E29" i="16" s="1"/>
  <c r="E30" i="16" s="1"/>
  <c r="F36" i="16"/>
  <c r="F37" i="16" s="1"/>
  <c r="F38" i="16" s="1"/>
  <c r="J36" i="16"/>
  <c r="J37" i="16" s="1"/>
  <c r="J38" i="16" s="1"/>
  <c r="D36" i="16"/>
  <c r="D37" i="16" s="1"/>
  <c r="D38" i="16" s="1"/>
  <c r="L28" i="16"/>
  <c r="L29" i="16" s="1"/>
  <c r="L30" i="16" s="1"/>
  <c r="I28" i="16"/>
  <c r="I29" i="16" s="1"/>
  <c r="I30" i="16" s="1"/>
  <c r="K36" i="16"/>
  <c r="K37" i="16" s="1"/>
  <c r="K38" i="16" s="1"/>
  <c r="H36" i="16"/>
  <c r="H37" i="16" s="1"/>
  <c r="H38" i="16" s="1"/>
  <c r="C40" i="16"/>
  <c r="D39" i="16"/>
  <c r="M36" i="16" l="1"/>
  <c r="M37" i="16" s="1"/>
  <c r="M38" i="16" s="1"/>
  <c r="O38" i="16" s="1"/>
  <c r="H20" i="16"/>
  <c r="H21" i="16" s="1"/>
  <c r="H22" i="16" s="1"/>
  <c r="G20" i="16"/>
  <c r="G21" i="16" s="1"/>
  <c r="G22" i="16" s="1"/>
  <c r="I20" i="16"/>
  <c r="I21" i="16" s="1"/>
  <c r="I22" i="16" s="1"/>
  <c r="F12" i="16"/>
  <c r="F13" i="16" s="1"/>
  <c r="F14" i="16" s="1"/>
  <c r="O30" i="16"/>
  <c r="G12" i="16"/>
  <c r="G13" i="16" s="1"/>
  <c r="G14" i="16" s="1"/>
  <c r="K19" i="16"/>
  <c r="J20" i="16"/>
  <c r="J21" i="16" s="1"/>
  <c r="J22" i="16" s="1"/>
  <c r="H12" i="16"/>
  <c r="H13" i="16" s="1"/>
  <c r="H14" i="16" s="1"/>
  <c r="D40" i="16"/>
  <c r="E39" i="16"/>
  <c r="J11" i="16" l="1"/>
  <c r="I12" i="16"/>
  <c r="I13" i="16" s="1"/>
  <c r="I14" i="16" s="1"/>
  <c r="E40" i="16"/>
  <c r="F39" i="16"/>
  <c r="L19" i="16"/>
  <c r="K20" i="16"/>
  <c r="K21" i="16" s="1"/>
  <c r="K22" i="16" s="1"/>
  <c r="A278" i="1"/>
  <c r="M19" i="16" l="1"/>
  <c r="L20" i="16"/>
  <c r="L21" i="16" s="1"/>
  <c r="L22" i="16" s="1"/>
  <c r="F40" i="16"/>
  <c r="G39" i="16"/>
  <c r="J12" i="16"/>
  <c r="J13" i="16" s="1"/>
  <c r="J14" i="16" s="1"/>
  <c r="A280" i="1"/>
  <c r="G40" i="16" l="1"/>
  <c r="H39" i="16"/>
  <c r="N19" i="16"/>
  <c r="N20" i="16" s="1"/>
  <c r="N21" i="16" s="1"/>
  <c r="N22" i="16" s="1"/>
  <c r="M20" i="16"/>
  <c r="M21" i="16" s="1"/>
  <c r="M22" i="16" s="1"/>
  <c r="K12" i="16"/>
  <c r="K13" i="16" s="1"/>
  <c r="K14" i="16" s="1"/>
  <c r="A282" i="1"/>
  <c r="L12" i="16" l="1"/>
  <c r="L13" i="16" s="1"/>
  <c r="L14" i="16" s="1"/>
  <c r="O22" i="16"/>
  <c r="H40" i="16"/>
  <c r="I39" i="16"/>
  <c r="I40" i="16" l="1"/>
  <c r="J39" i="16"/>
  <c r="N12" i="16"/>
  <c r="N13" i="16" s="1"/>
  <c r="N14" i="16" s="1"/>
  <c r="M12" i="16"/>
  <c r="M13" i="16" s="1"/>
  <c r="M14" i="16" s="1"/>
  <c r="N238" i="1"/>
  <c r="N237" i="1"/>
  <c r="O14" i="16" l="1"/>
  <c r="J40" i="16"/>
  <c r="K39" i="16"/>
  <c r="K40" i="16" l="1"/>
  <c r="L39" i="16"/>
  <c r="L40" i="16" l="1"/>
  <c r="M39" i="16"/>
  <c r="K339" i="1"/>
  <c r="I465" i="1"/>
  <c r="M40" i="16" l="1"/>
  <c r="N39" i="16"/>
  <c r="N40" i="16" s="1"/>
  <c r="S171" i="1"/>
  <c r="S172" i="1"/>
  <c r="O40" i="16" l="1"/>
  <c r="F224" i="1" l="1"/>
  <c r="F221" i="1"/>
  <c r="F219" i="1"/>
  <c r="H224" i="1" l="1"/>
  <c r="I224" i="1" s="1"/>
  <c r="H221" i="1"/>
  <c r="I221" i="1" s="1"/>
  <c r="H219" i="1"/>
  <c r="I219" i="1" s="1"/>
  <c r="E118" i="1" l="1"/>
  <c r="C48" i="16" l="1"/>
  <c r="D48" i="16" s="1"/>
  <c r="E48" i="16" s="1"/>
  <c r="F48" i="16" s="1"/>
  <c r="G48" i="16" s="1"/>
  <c r="H48" i="16" s="1"/>
  <c r="I48" i="16" s="1"/>
  <c r="J48" i="16" s="1"/>
  <c r="K48" i="16" s="1"/>
  <c r="L48" i="16" s="1"/>
  <c r="M48" i="16" s="1"/>
  <c r="N48" i="16" s="1"/>
  <c r="I10" i="5"/>
  <c r="N218" i="1"/>
  <c r="D238" i="1" l="1"/>
  <c r="R425" i="1" l="1"/>
  <c r="J238" i="1" l="1"/>
  <c r="K238" i="1" s="1"/>
  <c r="E478" i="1"/>
  <c r="F478" i="1" s="1"/>
  <c r="E477" i="1"/>
  <c r="F477" i="1" s="1"/>
  <c r="E476" i="1"/>
  <c r="F476" i="1" s="1"/>
  <c r="E475" i="1"/>
  <c r="F475" i="1" s="1"/>
  <c r="E474" i="1"/>
  <c r="F474" i="1" s="1"/>
  <c r="E473" i="1"/>
  <c r="F473" i="1" s="1"/>
  <c r="E472" i="1"/>
  <c r="F472" i="1" s="1"/>
  <c r="E471" i="1"/>
  <c r="F471" i="1" s="1"/>
  <c r="E470" i="1"/>
  <c r="F470" i="1" s="1"/>
  <c r="E469" i="1"/>
  <c r="F469" i="1" s="1"/>
  <c r="B469" i="1" l="1"/>
  <c r="L469" i="1" s="1"/>
  <c r="B471" i="1"/>
  <c r="L471" i="1" s="1"/>
  <c r="B475" i="1"/>
  <c r="L475" i="1" s="1"/>
  <c r="B472" i="1"/>
  <c r="L472" i="1" s="1"/>
  <c r="B476" i="1"/>
  <c r="L476" i="1" s="1"/>
  <c r="B473" i="1"/>
  <c r="L473" i="1" s="1"/>
  <c r="B477" i="1"/>
  <c r="L477" i="1" s="1"/>
  <c r="B470" i="1"/>
  <c r="L470" i="1" s="1"/>
  <c r="B474" i="1"/>
  <c r="L474" i="1" s="1"/>
  <c r="B478" i="1"/>
  <c r="L478" i="1" s="1"/>
  <c r="P270" i="1" l="1"/>
  <c r="D253" i="1"/>
  <c r="J470" i="1" l="1"/>
  <c r="J471" i="1"/>
  <c r="J472" i="1"/>
  <c r="J473" i="1"/>
  <c r="J474" i="1"/>
  <c r="J475" i="1"/>
  <c r="J476" i="1"/>
  <c r="J477" i="1"/>
  <c r="J478" i="1"/>
  <c r="J469" i="1"/>
  <c r="M458" i="1" l="1"/>
  <c r="M459" i="1"/>
  <c r="M457" i="1"/>
  <c r="E91" i="1" l="1"/>
  <c r="E89" i="1"/>
  <c r="E90" i="1"/>
  <c r="D22" i="15" l="1"/>
  <c r="D21" i="15"/>
  <c r="D20" i="15"/>
  <c r="D19" i="15"/>
  <c r="D20" i="13"/>
  <c r="D15" i="15"/>
  <c r="D14" i="15"/>
  <c r="D13" i="15"/>
  <c r="D12" i="15"/>
  <c r="H8" i="15"/>
  <c r="D8" i="15"/>
  <c r="H7" i="15"/>
  <c r="D7" i="15"/>
  <c r="H6" i="15"/>
  <c r="D6" i="15"/>
  <c r="F220" i="1" l="1"/>
  <c r="H220" i="1" s="1"/>
  <c r="I220" i="1" l="1"/>
  <c r="D22" i="13" l="1"/>
  <c r="D21" i="13"/>
  <c r="D15" i="13" l="1"/>
  <c r="D14" i="13"/>
  <c r="D13" i="13"/>
  <c r="D12" i="13"/>
  <c r="H8" i="13"/>
  <c r="H7" i="13"/>
  <c r="H6" i="13"/>
  <c r="D8" i="13"/>
  <c r="D7" i="13"/>
  <c r="D6" i="13"/>
  <c r="D17" i="11"/>
  <c r="D18" i="11"/>
  <c r="D19" i="11"/>
  <c r="D20" i="11"/>
  <c r="D14" i="11"/>
  <c r="D15" i="11"/>
  <c r="D13" i="11"/>
  <c r="D12" i="11"/>
  <c r="D11" i="11"/>
  <c r="D10" i="11"/>
  <c r="G458" i="1" l="1"/>
  <c r="E459" i="1"/>
  <c r="G459" i="1"/>
  <c r="E84" i="1" l="1"/>
  <c r="E82" i="1"/>
  <c r="E83" i="1"/>
  <c r="E81" i="1"/>
  <c r="F218" i="1" l="1"/>
  <c r="H218" i="1" s="1"/>
  <c r="I218" i="1" l="1"/>
  <c r="B190" i="1" l="1"/>
  <c r="H346" i="1" l="1"/>
  <c r="E88" i="1" l="1"/>
  <c r="G306" i="1" l="1"/>
  <c r="G122" i="1" l="1"/>
  <c r="D23" i="15" s="1"/>
  <c r="G118" i="1"/>
  <c r="D24" i="15" s="1"/>
  <c r="E373" i="1"/>
  <c r="A376" i="1" s="1"/>
  <c r="H381" i="1"/>
  <c r="B390" i="1" s="1"/>
  <c r="K3" i="3" l="1"/>
  <c r="L3" i="3" l="1"/>
  <c r="C14" i="3" s="1"/>
  <c r="E15" i="3" s="1"/>
  <c r="R3" i="3" l="1"/>
  <c r="H4" i="3" l="1"/>
  <c r="M4" i="3"/>
  <c r="P4" i="3" s="1"/>
  <c r="O4" i="3"/>
  <c r="T4" i="3"/>
  <c r="E14" i="3"/>
  <c r="O3" i="3" s="1"/>
  <c r="S3" i="3"/>
  <c r="S6" i="3" s="1"/>
  <c r="H343" i="1"/>
  <c r="H139" i="1" l="1"/>
  <c r="H143" i="1" l="1"/>
  <c r="H145" i="1"/>
  <c r="H144" i="1"/>
  <c r="H146" i="1"/>
  <c r="H142" i="1"/>
  <c r="I102" i="1"/>
  <c r="H102" i="1"/>
  <c r="H155" i="1" l="1"/>
  <c r="H158" i="1" l="1"/>
  <c r="H156" i="1"/>
  <c r="H157" i="1"/>
  <c r="R170" i="1"/>
  <c r="D177" i="1" s="1"/>
  <c r="O223" i="1" l="1"/>
  <c r="C223" i="1" s="1"/>
  <c r="O222" i="1"/>
  <c r="C222" i="1" s="1"/>
  <c r="D172" i="1"/>
  <c r="O219" i="1" s="1"/>
  <c r="K5" i="5"/>
  <c r="J463" i="1"/>
  <c r="B189" i="1"/>
  <c r="J222" i="1" l="1"/>
  <c r="O254" i="1" s="1"/>
  <c r="E222" i="1"/>
  <c r="K222" i="1" s="1"/>
  <c r="J223" i="1"/>
  <c r="P254" i="1" s="1"/>
  <c r="E223" i="1"/>
  <c r="K223" i="1" s="1"/>
  <c r="Q478" i="1"/>
  <c r="Q475" i="1"/>
  <c r="J254" i="1" l="1"/>
  <c r="N295" i="1" s="1"/>
  <c r="K295" i="1" s="1"/>
  <c r="E8" i="5"/>
  <c r="G457" i="1" l="1"/>
  <c r="D23" i="13" l="1"/>
  <c r="F414" i="1" l="1"/>
  <c r="E414" i="1"/>
  <c r="E416" i="1"/>
  <c r="K443" i="1" l="1"/>
  <c r="D447" i="1" l="1"/>
  <c r="J444" i="1"/>
  <c r="D440" i="1"/>
  <c r="D438" i="1"/>
  <c r="D437" i="1"/>
  <c r="J436" i="1"/>
  <c r="J435" i="1"/>
  <c r="D434" i="1"/>
  <c r="D433" i="1"/>
  <c r="J431" i="1"/>
  <c r="J430" i="1"/>
  <c r="D430" i="1"/>
  <c r="Q474" i="1" l="1"/>
  <c r="J449" i="1"/>
  <c r="D443" i="1"/>
  <c r="F415" i="1"/>
  <c r="D435" i="1"/>
  <c r="J443" i="1" s="1"/>
  <c r="E415" i="1"/>
  <c r="J445" i="1"/>
  <c r="D442" i="1"/>
  <c r="J438" i="1"/>
  <c r="J439" i="1"/>
  <c r="D445" i="1"/>
  <c r="J448" i="1"/>
  <c r="D439" i="1"/>
  <c r="J447" i="1"/>
  <c r="J425" i="1" l="1"/>
  <c r="J440" i="1"/>
  <c r="J424" i="1" s="1"/>
  <c r="J429" i="1"/>
  <c r="J428" i="1" s="1"/>
  <c r="D444" i="1"/>
  <c r="H419" i="1" l="1"/>
  <c r="E417" i="1"/>
  <c r="Q476" i="1"/>
  <c r="S425" i="1" s="1"/>
  <c r="J426" i="1"/>
  <c r="E418" i="1" l="1"/>
  <c r="Q477" i="1"/>
  <c r="D237" i="1" l="1"/>
  <c r="E3" i="4"/>
  <c r="F3" i="4" s="1"/>
  <c r="H271" i="1"/>
  <c r="E9" i="4"/>
  <c r="F9" i="4" s="1"/>
  <c r="E11" i="4"/>
  <c r="F11" i="4" s="1"/>
  <c r="E12" i="4"/>
  <c r="F12" i="4" s="1"/>
  <c r="E13" i="4"/>
  <c r="F13" i="4" s="1"/>
  <c r="E14" i="4"/>
  <c r="F14" i="4" s="1"/>
  <c r="E15" i="4"/>
  <c r="F15" i="4" s="1"/>
  <c r="E16" i="4"/>
  <c r="F16" i="4" s="1"/>
  <c r="E17" i="4"/>
  <c r="F17" i="4" s="1"/>
  <c r="H272" i="1" l="1"/>
  <c r="E5" i="4"/>
  <c r="F5" i="4" s="1"/>
  <c r="T241" i="1" s="1"/>
  <c r="E6" i="4"/>
  <c r="F6" i="4" s="1"/>
  <c r="R241" i="1" s="1"/>
  <c r="E10" i="4"/>
  <c r="F10" i="4" s="1"/>
  <c r="E4" i="4"/>
  <c r="F4" i="4" s="1"/>
  <c r="V241" i="1" s="1"/>
  <c r="E8" i="4"/>
  <c r="F8" i="4" s="1"/>
  <c r="E7" i="4"/>
  <c r="F7" i="4" s="1"/>
  <c r="P241" i="1" s="1"/>
  <c r="H270" i="1"/>
  <c r="G376" i="1"/>
  <c r="G339" i="1"/>
  <c r="J339" i="1" s="1"/>
  <c r="J237" i="1"/>
  <c r="B101" i="1"/>
  <c r="E80" i="1"/>
  <c r="J30" i="3"/>
  <c r="K30" i="3" s="1"/>
  <c r="K31" i="3" s="1"/>
  <c r="G277" i="1" l="1"/>
  <c r="G276" i="1"/>
  <c r="G282" i="1"/>
  <c r="G280" i="1"/>
  <c r="G283" i="1"/>
  <c r="G281" i="1"/>
  <c r="F139" i="1"/>
  <c r="F144" i="1" s="1"/>
  <c r="D5" i="5"/>
  <c r="G279" i="1"/>
  <c r="G278" i="1"/>
  <c r="F145" i="1"/>
  <c r="F142" i="1"/>
  <c r="J376" i="1"/>
  <c r="L376" i="1"/>
  <c r="I101" i="1"/>
  <c r="K237" i="1"/>
  <c r="H101" i="1"/>
  <c r="H30" i="3"/>
  <c r="F155" i="1" l="1"/>
  <c r="F143" i="1"/>
  <c r="F146" i="1"/>
  <c r="D16" i="5"/>
  <c r="D10" i="5"/>
  <c r="D15" i="5"/>
  <c r="I15" i="5" s="1"/>
  <c r="D6" i="5"/>
  <c r="D12" i="5"/>
  <c r="I12" i="5" s="1"/>
  <c r="D14" i="5"/>
  <c r="I14" i="5" s="1"/>
  <c r="D13" i="5"/>
  <c r="I13" i="5" s="1"/>
  <c r="D11" i="5"/>
  <c r="I11" i="5" s="1"/>
  <c r="H379" i="1"/>
  <c r="H380" i="1" s="1"/>
  <c r="E390" i="1" s="1"/>
  <c r="J390" i="1" s="1"/>
  <c r="B404" i="1" s="1"/>
  <c r="H404" i="1" s="1"/>
  <c r="J404" i="1" s="1"/>
  <c r="I406" i="1" s="1"/>
  <c r="D8" i="5"/>
  <c r="I5" i="5"/>
  <c r="I8" i="5" s="1"/>
  <c r="F157" i="1"/>
  <c r="F158" i="1"/>
  <c r="F156" i="1"/>
  <c r="R169" i="1"/>
  <c r="D173" i="1" l="1"/>
  <c r="D178" i="1"/>
  <c r="J462" i="1"/>
  <c r="K4" i="5"/>
  <c r="I16" i="5"/>
  <c r="J178" i="1" l="1"/>
  <c r="L178" i="1" s="1"/>
  <c r="F460" i="1" s="1"/>
  <c r="D460" i="1"/>
  <c r="J173" i="1"/>
  <c r="L173" i="1" s="1"/>
  <c r="O220" i="1"/>
  <c r="O221" i="1"/>
  <c r="C221" i="1" s="1"/>
  <c r="J221" i="1" s="1"/>
  <c r="O225" i="1"/>
  <c r="C225" i="1" s="1"/>
  <c r="O224" i="1"/>
  <c r="C224" i="1" s="1"/>
  <c r="J224" i="1" s="1"/>
  <c r="O255" i="1" s="1"/>
  <c r="J172" i="1"/>
  <c r="L172" i="1" s="1"/>
  <c r="D457" i="1"/>
  <c r="O218" i="1"/>
  <c r="C218" i="1" s="1"/>
  <c r="J218" i="1" s="1"/>
  <c r="F172" i="1"/>
  <c r="J177" i="1"/>
  <c r="C219" i="1"/>
  <c r="J219" i="1" s="1"/>
  <c r="D458" i="1"/>
  <c r="H458" i="1" s="1"/>
  <c r="F177" i="1"/>
  <c r="F181" i="1" s="1"/>
  <c r="S170" i="1"/>
  <c r="D459" i="1"/>
  <c r="I460" i="1" l="1"/>
  <c r="H460" i="1"/>
  <c r="J460" i="1"/>
  <c r="L460" i="1" s="1"/>
  <c r="N460" i="1" s="1"/>
  <c r="J181" i="1"/>
  <c r="F176" i="1"/>
  <c r="J457" i="1"/>
  <c r="E225" i="1"/>
  <c r="K225" i="1" s="1"/>
  <c r="J225" i="1"/>
  <c r="P255" i="1" s="1"/>
  <c r="J255" i="1" s="1"/>
  <c r="N296" i="1" s="1"/>
  <c r="K296" i="1" s="1"/>
  <c r="E218" i="1"/>
  <c r="K218" i="1" s="1"/>
  <c r="E224" i="1"/>
  <c r="K224" i="1" s="1"/>
  <c r="E221" i="1"/>
  <c r="K221" i="1" s="1"/>
  <c r="I457" i="1"/>
  <c r="H457" i="1"/>
  <c r="J458" i="1"/>
  <c r="K458" i="1" s="1"/>
  <c r="E219" i="1"/>
  <c r="K219" i="1" s="1"/>
  <c r="I458" i="1"/>
  <c r="L177" i="1"/>
  <c r="C239" i="1" s="1"/>
  <c r="C265" i="1" s="1"/>
  <c r="E102" i="1"/>
  <c r="L5" i="5"/>
  <c r="C237" i="1"/>
  <c r="O252" i="1"/>
  <c r="C220" i="1"/>
  <c r="J220" i="1" s="1"/>
  <c r="J459" i="1"/>
  <c r="H459" i="1"/>
  <c r="I459" i="1"/>
  <c r="K460" i="1" l="1"/>
  <c r="R239" i="1"/>
  <c r="P239" i="1"/>
  <c r="T239" i="1"/>
  <c r="O239" i="1"/>
  <c r="C240" i="1"/>
  <c r="K457" i="1"/>
  <c r="F459" i="1"/>
  <c r="O23" i="16"/>
  <c r="D23" i="16"/>
  <c r="C24" i="16"/>
  <c r="L181" i="1"/>
  <c r="O181" i="1" s="1"/>
  <c r="C263" i="1"/>
  <c r="P237" i="1"/>
  <c r="O237" i="1"/>
  <c r="P252" i="1"/>
  <c r="J252" i="1" s="1"/>
  <c r="O253" i="1"/>
  <c r="E220" i="1"/>
  <c r="K220" i="1" s="1"/>
  <c r="L459" i="1"/>
  <c r="N459" i="1" s="1"/>
  <c r="K459" i="1"/>
  <c r="K463" i="1" s="1"/>
  <c r="AB239" i="1" l="1"/>
  <c r="F239" i="1"/>
  <c r="H239" i="1"/>
  <c r="Q239" i="1"/>
  <c r="S239" i="1" s="1"/>
  <c r="U239" i="1" s="1"/>
  <c r="W239" i="1" s="1"/>
  <c r="AE239" i="1" s="1"/>
  <c r="AC239" i="1"/>
  <c r="G239" i="1"/>
  <c r="E239" i="1"/>
  <c r="AA239" i="1"/>
  <c r="X239" i="1"/>
  <c r="I239" i="1" s="1"/>
  <c r="O31" i="16"/>
  <c r="D31" i="16"/>
  <c r="C32" i="16"/>
  <c r="C266" i="1"/>
  <c r="O240" i="1"/>
  <c r="P240" i="1"/>
  <c r="N181" i="1"/>
  <c r="E23" i="16"/>
  <c r="D24" i="16"/>
  <c r="P253" i="1"/>
  <c r="J253" i="1" s="1"/>
  <c r="Q237" i="1"/>
  <c r="E237" i="1"/>
  <c r="AA237" i="1"/>
  <c r="N293" i="1"/>
  <c r="K293" i="1" s="1"/>
  <c r="E265" i="1" l="1"/>
  <c r="AD239" i="1"/>
  <c r="Y239" i="1"/>
  <c r="L239" i="1" s="1"/>
  <c r="L254" i="1" s="1"/>
  <c r="O295" i="1" s="1"/>
  <c r="E31" i="16"/>
  <c r="D32" i="16"/>
  <c r="E240" i="1"/>
  <c r="AA240" i="1"/>
  <c r="Q240" i="1"/>
  <c r="E24" i="16"/>
  <c r="F23" i="16"/>
  <c r="N294" i="1"/>
  <c r="K294" i="1" s="1"/>
  <c r="H254" i="1" l="1"/>
  <c r="B254" i="1" s="1"/>
  <c r="S295" i="1" s="1"/>
  <c r="F254" i="1"/>
  <c r="R240" i="1"/>
  <c r="F31" i="16"/>
  <c r="E32" i="16"/>
  <c r="F24" i="16"/>
  <c r="G23" i="16"/>
  <c r="L281" i="1"/>
  <c r="F240" i="1" l="1"/>
  <c r="AB240" i="1"/>
  <c r="S240" i="1"/>
  <c r="T240" i="1" s="1"/>
  <c r="AC240" i="1" s="1"/>
  <c r="F32" i="16"/>
  <c r="G31" i="16"/>
  <c r="G24" i="16"/>
  <c r="H23" i="16"/>
  <c r="U240" i="1" l="1"/>
  <c r="AD240" i="1" s="1"/>
  <c r="G240" i="1"/>
  <c r="G32" i="16"/>
  <c r="H31" i="16"/>
  <c r="H24" i="16"/>
  <c r="I23" i="16"/>
  <c r="X240" i="1" l="1"/>
  <c r="I240" i="1" s="1"/>
  <c r="W240" i="1"/>
  <c r="H240" i="1"/>
  <c r="E266" i="1" s="1"/>
  <c r="H32" i="16"/>
  <c r="I31" i="16"/>
  <c r="I24" i="16"/>
  <c r="J23" i="16"/>
  <c r="AE240" i="1" l="1"/>
  <c r="Y240" i="1"/>
  <c r="L240" i="1" s="1"/>
  <c r="L255" i="1" s="1"/>
  <c r="J31" i="16"/>
  <c r="I32" i="16"/>
  <c r="K23" i="16"/>
  <c r="J24" i="16"/>
  <c r="H255" i="1" l="1"/>
  <c r="B255" i="1" s="1"/>
  <c r="O296" i="1"/>
  <c r="F255" i="1"/>
  <c r="J32" i="16"/>
  <c r="K31" i="16"/>
  <c r="L23" i="16"/>
  <c r="K24" i="16"/>
  <c r="E79" i="1"/>
  <c r="L283" i="1"/>
  <c r="S296" i="1" l="1"/>
  <c r="K32" i="16"/>
  <c r="L31" i="16"/>
  <c r="M23" i="16"/>
  <c r="L24" i="16"/>
  <c r="L32" i="16" l="1"/>
  <c r="M31" i="16"/>
  <c r="N23" i="16"/>
  <c r="M24" i="16"/>
  <c r="N31" i="16" l="1"/>
  <c r="N32" i="16" s="1"/>
  <c r="M32" i="16"/>
  <c r="N24" i="16"/>
  <c r="O32" i="16" l="1"/>
  <c r="O24" i="16"/>
  <c r="E457" i="1"/>
  <c r="L457" i="1" l="1"/>
  <c r="N457" i="1" l="1"/>
  <c r="F457" i="1"/>
  <c r="D24" i="13" l="1"/>
  <c r="L339" i="1"/>
  <c r="T3" i="3" l="1"/>
  <c r="M3" i="3"/>
  <c r="H3" i="3"/>
  <c r="H342" i="1"/>
  <c r="H345" i="1" s="1"/>
  <c r="E355" i="1" s="1"/>
  <c r="B355" i="1"/>
  <c r="P3" i="3" l="1"/>
  <c r="B12" i="3" s="1"/>
  <c r="T6" i="3"/>
  <c r="J355" i="1"/>
  <c r="B369" i="1" s="1"/>
  <c r="H369" i="1" s="1"/>
  <c r="J369" i="1" s="1"/>
  <c r="I371" i="1" s="1"/>
  <c r="B11" i="3" l="1"/>
  <c r="C11" i="3" s="1"/>
  <c r="M473" i="1" l="1"/>
  <c r="R237" i="1" l="1"/>
  <c r="AB237" i="1" s="1"/>
  <c r="F237" i="1" l="1"/>
  <c r="S237" i="1"/>
  <c r="T237" i="1" s="1"/>
  <c r="M471" i="1"/>
  <c r="M469" i="1"/>
  <c r="G237" i="1" l="1"/>
  <c r="AC237" i="1"/>
  <c r="U237" i="1"/>
  <c r="AD237" i="1" l="1"/>
  <c r="H237" i="1" l="1"/>
  <c r="X237" i="1"/>
  <c r="I237" i="1" s="1"/>
  <c r="W237" i="1"/>
  <c r="Y237" i="1" l="1"/>
  <c r="L237" i="1" s="1"/>
  <c r="L252" i="1" s="1"/>
  <c r="AE237" i="1"/>
  <c r="E263" i="1"/>
  <c r="O293" i="1" l="1"/>
  <c r="H252" i="1"/>
  <c r="B252" i="1" s="1"/>
  <c r="F252" i="1"/>
  <c r="L277" i="1"/>
  <c r="S293" i="1" l="1"/>
  <c r="D19" i="13" l="1"/>
  <c r="E336" i="1"/>
  <c r="A339" i="1" s="1"/>
  <c r="M472" i="1" l="1"/>
  <c r="M470" i="1" l="1"/>
  <c r="F182" i="1"/>
  <c r="O171" i="1" s="1"/>
  <c r="K22" i="11" l="1"/>
  <c r="K462" i="1"/>
  <c r="E458" i="1"/>
  <c r="E462" i="1" l="1"/>
  <c r="L458" i="1"/>
  <c r="L463" i="1" s="1"/>
  <c r="N458" i="1" l="1"/>
  <c r="L462" i="1"/>
  <c r="H176" i="1"/>
  <c r="S169" i="1"/>
  <c r="E101" i="1" s="1"/>
  <c r="J176" i="1"/>
  <c r="J182" i="1" s="1"/>
  <c r="N462" i="1" l="1"/>
  <c r="N463" i="1"/>
  <c r="G98" i="1"/>
  <c r="H182" i="1"/>
  <c r="L4" i="5"/>
  <c r="I6" i="5"/>
  <c r="G28" i="1" l="1"/>
  <c r="K23" i="11" s="1"/>
  <c r="O425" i="1"/>
  <c r="Q425" i="1" s="1"/>
  <c r="M15" i="16"/>
  <c r="L15" i="16"/>
  <c r="K15" i="16"/>
  <c r="J15" i="16"/>
  <c r="N15" i="16"/>
  <c r="C16" i="16"/>
  <c r="I15" i="16"/>
  <c r="D15" i="16"/>
  <c r="F15" i="16"/>
  <c r="C43" i="16"/>
  <c r="C45" i="16" s="1"/>
  <c r="H15" i="16"/>
  <c r="G15" i="16"/>
  <c r="O15" i="16"/>
  <c r="O43" i="16" s="1"/>
  <c r="O45" i="16" s="1"/>
  <c r="E15" i="16"/>
  <c r="F458" i="1"/>
  <c r="L176" i="1"/>
  <c r="C238" i="1"/>
  <c r="N176" i="1" l="1"/>
  <c r="N182" i="1" s="1"/>
  <c r="F410" i="1" s="1"/>
  <c r="L182" i="1"/>
  <c r="O176" i="1"/>
  <c r="G16" i="16"/>
  <c r="G42" i="16" s="1"/>
  <c r="G43" i="16"/>
  <c r="G45" i="16" s="1"/>
  <c r="D43" i="16"/>
  <c r="D45" i="16" s="1"/>
  <c r="D16" i="16"/>
  <c r="D42" i="16" s="1"/>
  <c r="H16" i="16"/>
  <c r="H42" i="16" s="1"/>
  <c r="H43" i="16"/>
  <c r="H45" i="16" s="1"/>
  <c r="I16" i="16"/>
  <c r="I42" i="16" s="1"/>
  <c r="I43" i="16"/>
  <c r="I45" i="16" s="1"/>
  <c r="K16" i="16"/>
  <c r="K42" i="16" s="1"/>
  <c r="K43" i="16"/>
  <c r="K45" i="16" s="1"/>
  <c r="E16" i="16"/>
  <c r="E42" i="16" s="1"/>
  <c r="E43" i="16"/>
  <c r="E45" i="16" s="1"/>
  <c r="C42" i="16"/>
  <c r="C46" i="16" s="1"/>
  <c r="L43" i="16"/>
  <c r="L45" i="16" s="1"/>
  <c r="L16" i="16"/>
  <c r="L42" i="16" s="1"/>
  <c r="J16" i="16"/>
  <c r="J42" i="16" s="1"/>
  <c r="J43" i="16"/>
  <c r="J45" i="16" s="1"/>
  <c r="C264" i="1"/>
  <c r="P238" i="1"/>
  <c r="O238" i="1"/>
  <c r="F16" i="16"/>
  <c r="F42" i="16" s="1"/>
  <c r="F43" i="16"/>
  <c r="F45" i="16" s="1"/>
  <c r="N16" i="16"/>
  <c r="N42" i="16" s="1"/>
  <c r="N43" i="16"/>
  <c r="N45" i="16" s="1"/>
  <c r="M43" i="16"/>
  <c r="M45" i="16" s="1"/>
  <c r="M16" i="16"/>
  <c r="M42" i="16" s="1"/>
  <c r="M46" i="16" l="1"/>
  <c r="M49" i="16" s="1"/>
  <c r="M50" i="16" s="1"/>
  <c r="E46" i="16"/>
  <c r="E49" i="16" s="1"/>
  <c r="E50" i="16" s="1"/>
  <c r="I46" i="16"/>
  <c r="I49" i="16" s="1"/>
  <c r="I50" i="16" s="1"/>
  <c r="I51" i="16" s="1"/>
  <c r="N46" i="16"/>
  <c r="N49" i="16" s="1"/>
  <c r="N50" i="16" s="1"/>
  <c r="F46" i="16"/>
  <c r="J46" i="16"/>
  <c r="C49" i="16"/>
  <c r="C50" i="16" s="1"/>
  <c r="C51" i="16" s="1"/>
  <c r="K46" i="16"/>
  <c r="H46" i="16"/>
  <c r="G46" i="16"/>
  <c r="Q238" i="1"/>
  <c r="L46" i="16"/>
  <c r="D46" i="16"/>
  <c r="O170" i="1"/>
  <c r="O169" i="1"/>
  <c r="D271" i="1" s="1"/>
  <c r="J271" i="1" s="1"/>
  <c r="AA238" i="1"/>
  <c r="E238" i="1"/>
  <c r="O16" i="16"/>
  <c r="O42" i="16" s="1"/>
  <c r="O46" i="16" s="1"/>
  <c r="H411" i="1"/>
  <c r="P339" i="1"/>
  <c r="N25" i="13" s="1"/>
  <c r="D25" i="13" s="1"/>
  <c r="D272" i="1" l="1"/>
  <c r="M51" i="16"/>
  <c r="E51" i="16"/>
  <c r="R238" i="1"/>
  <c r="N51" i="16"/>
  <c r="G49" i="16"/>
  <c r="G50" i="16" s="1"/>
  <c r="G51" i="16" s="1"/>
  <c r="F49" i="16"/>
  <c r="F50" i="16" s="1"/>
  <c r="F51" i="16" s="1"/>
  <c r="E242" i="1"/>
  <c r="H474" i="1" s="1"/>
  <c r="M474" i="1" s="1"/>
  <c r="L49" i="16"/>
  <c r="L50" i="16" s="1"/>
  <c r="L51" i="16" s="1"/>
  <c r="I17" i="5"/>
  <c r="D17" i="5"/>
  <c r="P169" i="1"/>
  <c r="G309" i="1"/>
  <c r="B318" i="1" s="1"/>
  <c r="D270" i="1"/>
  <c r="H49" i="16"/>
  <c r="H50" i="16" s="1"/>
  <c r="H51" i="16" s="1"/>
  <c r="J49" i="16"/>
  <c r="J50" i="16" s="1"/>
  <c r="J51" i="16" s="1"/>
  <c r="F26" i="13"/>
  <c r="D25" i="15"/>
  <c r="F26" i="15" s="1"/>
  <c r="D49" i="16"/>
  <c r="D50" i="16" s="1"/>
  <c r="D51" i="16" s="1"/>
  <c r="K49" i="16"/>
  <c r="K50" i="16" s="1"/>
  <c r="K51" i="16" s="1"/>
  <c r="E277" i="1" l="1"/>
  <c r="H277" i="1" s="1"/>
  <c r="J277" i="1" s="1"/>
  <c r="E276" i="1"/>
  <c r="H276" i="1" s="1"/>
  <c r="E282" i="1"/>
  <c r="H282" i="1" s="1"/>
  <c r="E280" i="1"/>
  <c r="H280" i="1" s="1"/>
  <c r="E283" i="1"/>
  <c r="H283" i="1" s="1"/>
  <c r="J283" i="1" s="1"/>
  <c r="E281" i="1"/>
  <c r="H281" i="1" s="1"/>
  <c r="J281" i="1" s="1"/>
  <c r="E279" i="1"/>
  <c r="H279" i="1" s="1"/>
  <c r="E278" i="1"/>
  <c r="H278" i="1" s="1"/>
  <c r="J272" i="1"/>
  <c r="F238" i="1"/>
  <c r="AB238" i="1"/>
  <c r="S238" i="1"/>
  <c r="O50" i="16"/>
  <c r="O51" i="16"/>
  <c r="J270" i="1"/>
  <c r="L276" i="1"/>
  <c r="L280" i="1"/>
  <c r="L282" i="1"/>
  <c r="J282" i="1" l="1"/>
  <c r="J276" i="1"/>
  <c r="J280" i="1"/>
  <c r="R295" i="1" s="1"/>
  <c r="F242" i="1"/>
  <c r="H475" i="1" s="1"/>
  <c r="M475" i="1" s="1"/>
  <c r="T238" i="1"/>
  <c r="U238" i="1" s="1"/>
  <c r="AC238" i="1" l="1"/>
  <c r="G238" i="1"/>
  <c r="X238" i="1"/>
  <c r="I238" i="1" s="1"/>
  <c r="I242" i="1" s="1"/>
  <c r="H478" i="1" s="1"/>
  <c r="M478" i="1" s="1"/>
  <c r="W238" i="1" l="1"/>
  <c r="AE238" i="1" s="1"/>
  <c r="G242" i="1"/>
  <c r="H476" i="1" s="1"/>
  <c r="M476" i="1" s="1"/>
  <c r="AD238" i="1"/>
  <c r="H238" i="1"/>
  <c r="H242" i="1" s="1"/>
  <c r="H477" i="1" s="1"/>
  <c r="M477" i="1" s="1"/>
  <c r="Y238" i="1" l="1"/>
  <c r="L238" i="1" s="1"/>
  <c r="L253" i="1" s="1"/>
  <c r="O294" i="1" s="1"/>
  <c r="E264" i="1"/>
  <c r="H253" i="1" l="1"/>
  <c r="B253" i="1" s="1"/>
  <c r="F253" i="1"/>
  <c r="C476" i="1"/>
  <c r="C473" i="1"/>
  <c r="C469" i="1"/>
  <c r="C474" i="1"/>
  <c r="C470" i="1"/>
  <c r="C475" i="1"/>
  <c r="C477" i="1"/>
  <c r="C472" i="1"/>
  <c r="C478" i="1"/>
  <c r="C471" i="1"/>
  <c r="L279" i="1"/>
  <c r="J279" i="1" l="1"/>
  <c r="S294" i="1"/>
  <c r="L278" i="1"/>
  <c r="J278" i="1" l="1"/>
  <c r="R296" i="1" s="1"/>
  <c r="R294" i="1"/>
  <c r="R293" i="1"/>
  <c r="F291" i="1" l="1"/>
  <c r="D295" i="1" s="1"/>
  <c r="F295" i="1" s="1"/>
  <c r="J295" i="1" l="1"/>
  <c r="I295" i="1" s="1"/>
  <c r="H295" i="1"/>
  <c r="G304" i="1"/>
  <c r="G308" i="1" s="1"/>
  <c r="E318" i="1" s="1"/>
  <c r="J318" i="1" s="1"/>
  <c r="B332" i="1" s="1"/>
  <c r="H332" i="1" s="1"/>
  <c r="J332" i="1" s="1"/>
  <c r="I334" i="1" s="1"/>
  <c r="D296" i="1"/>
  <c r="F296" i="1" s="1"/>
  <c r="D293" i="1"/>
  <c r="F293" i="1" s="1"/>
  <c r="J293" i="1" s="1"/>
  <c r="I293" i="1" s="1"/>
  <c r="D294" i="1"/>
  <c r="F294" i="1" s="1"/>
  <c r="J296" i="1" l="1"/>
  <c r="I296" i="1" s="1"/>
  <c r="H296" i="1"/>
  <c r="H293" i="1"/>
  <c r="H294" i="1"/>
  <c r="J294" i="1"/>
  <c r="I294" i="1" s="1"/>
</calcChain>
</file>

<file path=xl/sharedStrings.xml><?xml version="1.0" encoding="utf-8"?>
<sst xmlns="http://schemas.openxmlformats.org/spreadsheetml/2006/main" count="881" uniqueCount="565">
  <si>
    <t>DOSSIER TECHNIQUE</t>
  </si>
  <si>
    <t>I- Engagement</t>
  </si>
  <si>
    <t>II- Note de calcul</t>
  </si>
  <si>
    <t>III- Offre Financière</t>
  </si>
  <si>
    <t>IV- Plans divers</t>
  </si>
  <si>
    <t>V- Annexes</t>
  </si>
  <si>
    <t>1- Bulletins d’essai</t>
  </si>
  <si>
    <t>2- Fiches techniques</t>
  </si>
  <si>
    <t>I. NOTE DE CALCUL</t>
  </si>
  <si>
    <t>Nom et prénom :</t>
  </si>
  <si>
    <t>CIN :</t>
  </si>
  <si>
    <t>Raison sociale :</t>
  </si>
  <si>
    <t>Adresse complète de l’exploitation agricole :</t>
  </si>
  <si>
    <t xml:space="preserve">» Douar : </t>
  </si>
  <si>
    <t xml:space="preserve">» Cercle : </t>
  </si>
  <si>
    <t xml:space="preserve">» Province : </t>
  </si>
  <si>
    <t>B - DONNEES DE BASE :</t>
  </si>
  <si>
    <t>B-1-Cultures à irriguer :</t>
  </si>
  <si>
    <t>B-1-1-Cultures et densité :</t>
  </si>
  <si>
    <t>Superficie totale de l'exploitation (ha) :</t>
  </si>
  <si>
    <t>Superficie nette a équiper (ha) :</t>
  </si>
  <si>
    <t>Cultures</t>
  </si>
  <si>
    <t>Superficie (ha)</t>
  </si>
  <si>
    <t>El</t>
  </si>
  <si>
    <t>Ep</t>
  </si>
  <si>
    <t>Observation</t>
  </si>
  <si>
    <t>-</t>
  </si>
  <si>
    <t>B-2-Données du sol :</t>
  </si>
  <si>
    <t>Limono-argileux</t>
  </si>
  <si>
    <t>: ≈ 08 mm/h</t>
  </si>
  <si>
    <t>: Voir plan coté</t>
  </si>
  <si>
    <t>B-3-Donnée hydriques :</t>
  </si>
  <si>
    <t>Débit d'exploitation</t>
  </si>
  <si>
    <t xml:space="preserve"> m3/h</t>
  </si>
  <si>
    <t>Profondeur total</t>
  </si>
  <si>
    <t>m</t>
  </si>
  <si>
    <t>Niveau hydrostatique</t>
  </si>
  <si>
    <t>Niveau hydrodynamique</t>
  </si>
  <si>
    <r>
      <t>B-3-2-Qualité de l’eau</t>
    </r>
    <r>
      <rPr>
        <sz val="12"/>
        <color theme="1"/>
        <rFont val="Times New Roman"/>
        <family val="1"/>
      </rPr>
      <t> : Bonne</t>
    </r>
  </si>
  <si>
    <r>
      <t>B-3-2-Besoins en eau de la culture</t>
    </r>
    <r>
      <rPr>
        <sz val="12"/>
        <color theme="1"/>
        <rFont val="Times New Roman"/>
        <family val="1"/>
      </rPr>
      <t> :</t>
    </r>
  </si>
  <si>
    <r>
      <t>-Besoin brut (Bb) en eau d’irrigation</t>
    </r>
    <r>
      <rPr>
        <sz val="11"/>
        <color theme="1"/>
        <rFont val="Times New Roman"/>
        <family val="1"/>
      </rPr>
      <t> :</t>
    </r>
    <r>
      <rPr>
        <sz val="12"/>
        <color theme="1"/>
        <rFont val="Times New Roman"/>
        <family val="1"/>
      </rPr>
      <t> </t>
    </r>
  </si>
  <si>
    <t xml:space="preserve">            </t>
  </si>
  <si>
    <t>Bb = Kc x ETo x Kr/Ea</t>
  </si>
  <si>
    <r>
      <t>·         K</t>
    </r>
    <r>
      <rPr>
        <vertAlign val="subscript"/>
        <sz val="12"/>
        <color rgb="FF000000"/>
        <rFont val="Times New Roman"/>
        <family val="1"/>
      </rPr>
      <t>c</t>
    </r>
    <r>
      <rPr>
        <sz val="12"/>
        <color rgb="FF000000"/>
        <rFont val="Times New Roman"/>
        <family val="1"/>
      </rPr>
      <t xml:space="preserve"> : Coefficient cultural ; </t>
    </r>
  </si>
  <si>
    <r>
      <t>·         ET</t>
    </r>
    <r>
      <rPr>
        <vertAlign val="subscript"/>
        <sz val="12"/>
        <color rgb="FF000000"/>
        <rFont val="Times New Roman"/>
        <family val="1"/>
      </rPr>
      <t>o</t>
    </r>
    <r>
      <rPr>
        <sz val="12"/>
        <color rgb="FF000000"/>
        <rFont val="Times New Roman"/>
        <family val="1"/>
      </rPr>
      <t> : Evapotranspiration de référence ;</t>
    </r>
  </si>
  <si>
    <r>
      <t>·         K</t>
    </r>
    <r>
      <rPr>
        <vertAlign val="subscript"/>
        <sz val="12"/>
        <color rgb="FF000000"/>
        <rFont val="Times New Roman"/>
        <family val="1"/>
      </rPr>
      <t>r</t>
    </r>
    <r>
      <rPr>
        <sz val="12"/>
        <color rgb="FF000000"/>
        <rFont val="Times New Roman"/>
        <family val="1"/>
      </rPr>
      <t> : Coefficient de réduction dépendant du taux de couverture du sol par la culture ;</t>
    </r>
  </si>
  <si>
    <r>
      <t>·         E</t>
    </r>
    <r>
      <rPr>
        <vertAlign val="subscript"/>
        <sz val="12"/>
        <color rgb="FF000000"/>
        <rFont val="Times New Roman"/>
        <family val="1"/>
      </rPr>
      <t>a</t>
    </r>
    <r>
      <rPr>
        <sz val="12"/>
        <color rgb="FF000000"/>
        <rFont val="Times New Roman"/>
        <family val="1"/>
      </rPr>
      <t xml:space="preserve"> : Efficience d’application de l’eau à la parcelle (90%).</t>
    </r>
  </si>
  <si>
    <t>C-CALCULS HYDRAULIQUES:</t>
  </si>
  <si>
    <t>C-1-Donnée d’optimisation :</t>
  </si>
  <si>
    <r>
      <t>C-1-1-Caractéristiques des distributeurs</t>
    </r>
    <r>
      <rPr>
        <sz val="12"/>
        <color theme="1"/>
        <rFont val="Times New Roman"/>
        <family val="1"/>
      </rPr>
      <t xml:space="preserve"> : </t>
    </r>
  </si>
  <si>
    <t>Type</t>
  </si>
  <si>
    <t>Culture</t>
  </si>
  <si>
    <t xml:space="preserve">C-1-4-Pluviométrie fictive (Pf) et durée d’irrigation par poste (T) :  </t>
  </si>
  <si>
    <t>Formule</t>
  </si>
  <si>
    <t>C-2-Note de calcul :</t>
  </si>
  <si>
    <t>C-2-1-Postes d’irrigation :</t>
  </si>
  <si>
    <t>Secteurs</t>
  </si>
  <si>
    <t>Postes</t>
  </si>
  <si>
    <t>Durée (h/j)</t>
  </si>
  <si>
    <t>Superficie 
(m2)</t>
  </si>
  <si>
    <t>Nombre 
de goutteurs</t>
  </si>
  <si>
    <t>Débit 
(m3/h)</t>
  </si>
  <si>
    <t>P1</t>
  </si>
  <si>
    <t>P2</t>
  </si>
  <si>
    <t>P3</t>
  </si>
  <si>
    <t>Total Parcelle</t>
  </si>
  <si>
    <r>
      <t xml:space="preserve">C-2-2-Rampes, porte rampes, antennes secondaires, têtes d’unités et conduites principales </t>
    </r>
    <r>
      <rPr>
        <b/>
        <sz val="11"/>
        <color theme="1"/>
        <rFont val="Times New Roman"/>
        <family val="1"/>
      </rPr>
      <t xml:space="preserve">: </t>
    </r>
    <r>
      <rPr>
        <sz val="13"/>
        <color theme="1"/>
        <rFont val="Times New Roman"/>
        <family val="1"/>
      </rPr>
      <t xml:space="preserve">     </t>
    </r>
  </si>
  <si>
    <t>Le calcul des diamètres des rampes et des portes rampes se fait en respectant la règle de Christiansen sur la variation admissible de pression qui limite la plage de variation du débit à 10% correspondante à une variation de pression de :</t>
  </si>
  <si>
    <r>
      <rPr>
        <b/>
        <sz val="12"/>
        <rFont val="Calibri"/>
        <family val="2"/>
      </rPr>
      <t>∆</t>
    </r>
    <r>
      <rPr>
        <b/>
        <sz val="12"/>
        <rFont val="Times New Roman"/>
        <family val="1"/>
      </rPr>
      <t>P = (Pm * ∆q/q) / x</t>
    </r>
  </si>
  <si>
    <t>(mce)</t>
  </si>
  <si>
    <t>C’est à dire :</t>
  </si>
  <si>
    <r>
      <t>Σ[(Y</t>
    </r>
    <r>
      <rPr>
        <b/>
        <vertAlign val="subscript"/>
        <sz val="12"/>
        <rFont val="Times New Roman"/>
        <family val="1"/>
      </rPr>
      <t>i</t>
    </r>
    <r>
      <rPr>
        <b/>
        <sz val="12"/>
        <rFont val="Times New Roman"/>
        <family val="1"/>
      </rPr>
      <t xml:space="preserve"> + (ΔZ) </t>
    </r>
    <r>
      <rPr>
        <b/>
        <vertAlign val="subscript"/>
        <sz val="12"/>
        <rFont val="Times New Roman"/>
        <family val="1"/>
      </rPr>
      <t>i</t>
    </r>
    <r>
      <rPr>
        <b/>
        <sz val="12"/>
        <rFont val="Times New Roman"/>
        <family val="1"/>
      </rPr>
      <t xml:space="preserve">] </t>
    </r>
    <r>
      <rPr>
        <b/>
        <vertAlign val="subscript"/>
        <sz val="12"/>
        <rFont val="Times New Roman"/>
        <family val="1"/>
      </rPr>
      <t>(i = 1 à i = n)</t>
    </r>
    <r>
      <rPr>
        <b/>
        <sz val="12"/>
        <rFont val="Times New Roman"/>
        <family val="1"/>
      </rPr>
      <t xml:space="preserve"> doit être inférieure ou égale à  </t>
    </r>
  </si>
  <si>
    <r>
      <t>n         :</t>
    </r>
    <r>
      <rPr>
        <sz val="12"/>
        <rFont val="Times New Roman"/>
        <family val="1"/>
      </rPr>
      <t xml:space="preserve"> Nombre de tronçons entre le distributeur le plus favorisé et le plus défavorisé ;</t>
    </r>
  </si>
  <si>
    <r>
      <t xml:space="preserve">(ΔZ) </t>
    </r>
    <r>
      <rPr>
        <b/>
        <vertAlign val="subscript"/>
        <sz val="12"/>
        <rFont val="Times New Roman"/>
        <family val="1"/>
      </rPr>
      <t xml:space="preserve">i   </t>
    </r>
    <r>
      <rPr>
        <b/>
        <sz val="12"/>
        <rFont val="Times New Roman"/>
        <family val="1"/>
      </rPr>
      <t>:</t>
    </r>
    <r>
      <rPr>
        <sz val="12"/>
        <rFont val="Times New Roman"/>
        <family val="1"/>
      </rPr>
      <t xml:space="preserve"> Dénivelée au niveau du tronçon i (m) ;</t>
    </r>
  </si>
  <si>
    <r>
      <t>Yi = (0.478 x Q</t>
    </r>
    <r>
      <rPr>
        <b/>
        <vertAlign val="subscript"/>
        <sz val="12"/>
        <rFont val="Times New Roman"/>
        <family val="1"/>
      </rPr>
      <t>i</t>
    </r>
    <r>
      <rPr>
        <b/>
        <vertAlign val="superscript"/>
        <sz val="12"/>
        <rFont val="Times New Roman"/>
        <family val="1"/>
      </rPr>
      <t>1,75</t>
    </r>
    <r>
      <rPr>
        <b/>
        <sz val="12"/>
        <rFont val="Times New Roman"/>
        <family val="1"/>
      </rPr>
      <t xml:space="preserve"> x D</t>
    </r>
    <r>
      <rPr>
        <b/>
        <vertAlign val="subscript"/>
        <sz val="12"/>
        <rFont val="Times New Roman"/>
        <family val="1"/>
      </rPr>
      <t>i</t>
    </r>
    <r>
      <rPr>
        <b/>
        <vertAlign val="superscript"/>
        <sz val="12"/>
        <rFont val="Times New Roman"/>
        <family val="1"/>
      </rPr>
      <t>-4,75</t>
    </r>
    <r>
      <rPr>
        <b/>
        <sz val="12"/>
        <rFont val="Times New Roman"/>
        <family val="1"/>
      </rPr>
      <t xml:space="preserve"> x L</t>
    </r>
    <r>
      <rPr>
        <b/>
        <vertAlign val="subscript"/>
        <sz val="12"/>
        <rFont val="Times New Roman"/>
        <family val="1"/>
      </rPr>
      <t>i</t>
    </r>
    <r>
      <rPr>
        <b/>
        <sz val="12"/>
        <rFont val="Times New Roman"/>
        <family val="1"/>
      </rPr>
      <t>) x 1.10</t>
    </r>
  </si>
  <si>
    <t>·         Q : Débit du tronçon i (l/h) ;</t>
  </si>
  <si>
    <r>
      <t>·         D</t>
    </r>
    <r>
      <rPr>
        <vertAlign val="subscript"/>
        <sz val="11"/>
        <color rgb="FF000000"/>
        <rFont val="Times New Roman"/>
        <family val="1"/>
      </rPr>
      <t>i</t>
    </r>
    <r>
      <rPr>
        <sz val="11"/>
        <color rgb="FF000000"/>
        <rFont val="Times New Roman"/>
        <family val="1"/>
      </rPr>
      <t> : Diamètre du tronçon i (mm) ;</t>
    </r>
  </si>
  <si>
    <r>
      <t>·         L</t>
    </r>
    <r>
      <rPr>
        <vertAlign val="subscript"/>
        <sz val="11"/>
        <color rgb="FF000000"/>
        <rFont val="Times New Roman"/>
        <family val="1"/>
      </rPr>
      <t>i</t>
    </r>
    <r>
      <rPr>
        <sz val="11"/>
        <color rgb="FF000000"/>
        <rFont val="Times New Roman"/>
        <family val="1"/>
      </rPr>
      <t> : Longueur du tronçon i (m).</t>
    </r>
  </si>
  <si>
    <r>
      <t>·         Y</t>
    </r>
    <r>
      <rPr>
        <vertAlign val="subscript"/>
        <sz val="11"/>
        <color rgb="FF000000"/>
        <rFont val="Times New Roman"/>
        <family val="1"/>
      </rPr>
      <t>i</t>
    </r>
    <r>
      <rPr>
        <sz val="11"/>
        <color rgb="FF000000"/>
        <rFont val="Times New Roman"/>
        <family val="1"/>
      </rPr>
      <t xml:space="preserve"> : perte de charge totale (linéaire + singulière) du tronçon i (mCE). </t>
    </r>
  </si>
  <si>
    <t>Vitesse maximale admissible :</t>
  </si>
  <si>
    <t>La vitesse maximale admissible dans les conduites est de 1.5 m/s au niveau des portes rampes, des antennes secondaires et des conduites principales et 1 m/s au niveau des rampes.</t>
  </si>
  <si>
    <t>La vitesse d’écoulement (V) en mètres par seconde est donnée par l’équation suivante :</t>
  </si>
  <si>
    <t xml:space="preserve">    </t>
  </si>
  <si>
    <t xml:space="preserve">                                 </t>
  </si>
  <si>
    <t>V = Q / S</t>
  </si>
  <si>
    <t>·         V : Vitesse (m/s).</t>
  </si>
  <si>
    <t>·         Q : Débit (m3/s).</t>
  </si>
  <si>
    <t>·         S : Section de la conduite (m2).</t>
  </si>
  <si>
    <t>C-2-3-Rampes :</t>
  </si>
  <si>
    <t>Poste</t>
  </si>
  <si>
    <t>Lr</t>
  </si>
  <si>
    <t>Qr</t>
  </si>
  <si>
    <t>I (% )</t>
  </si>
  <si>
    <t>Dr</t>
  </si>
  <si>
    <t>Lpn</t>
  </si>
  <si>
    <t>Lpx</t>
  </si>
  <si>
    <t>∆ Pr</t>
  </si>
  <si>
    <t>∆ Z</t>
  </si>
  <si>
    <t>( m )</t>
  </si>
  <si>
    <t>( l/h )</t>
  </si>
  <si>
    <t xml:space="preserve"> ( mm )</t>
  </si>
  <si>
    <t xml:space="preserve"> ( m )</t>
  </si>
  <si>
    <t xml:space="preserve"> ( mce )</t>
  </si>
  <si>
    <t>(m)</t>
  </si>
  <si>
    <t>(m/s)</t>
  </si>
  <si>
    <t>·         Lr : longueur de la rampe (m) ;</t>
  </si>
  <si>
    <t>·         Qr : débit à l'entrée de la rampe (l/h) ;</t>
  </si>
  <si>
    <t>·         Dr : diamètre externe et interne de la rampe (mm) ;</t>
  </si>
  <si>
    <r>
      <t xml:space="preserve">·         I     : pente (%), négative s'elle est </t>
    </r>
    <r>
      <rPr>
        <sz val="12"/>
        <rFont val="Times New Roman"/>
        <family val="1"/>
      </rPr>
      <t>descendante et positive s’elle est ascendante</t>
    </r>
    <r>
      <rPr>
        <sz val="12"/>
        <color rgb="FF000000"/>
        <rFont val="Times New Roman"/>
        <family val="1"/>
      </rPr>
      <t> ;</t>
    </r>
  </si>
  <si>
    <t>·         Lpn : longueur à laquelle la pression effective est minimale ;</t>
  </si>
  <si>
    <t>·         Lpx : longueur à laquelle la pression effective est maximale ;</t>
  </si>
  <si>
    <t>·         DP   : Variation maximale de pression (mCE).</t>
  </si>
  <si>
    <t>C-2-4-Porte rampes :</t>
  </si>
  <si>
    <t>Lpr</t>
  </si>
  <si>
    <t>·         Lpr : longueur totale du porte rampes (m) ;</t>
  </si>
  <si>
    <r>
      <t>·         Qpr   : débit du porte rampes (m</t>
    </r>
    <r>
      <rPr>
        <vertAlign val="superscript"/>
        <sz val="12"/>
        <color rgb="FF000000"/>
        <rFont val="Times New Roman"/>
        <family val="1"/>
      </rPr>
      <t>3</t>
    </r>
    <r>
      <rPr>
        <sz val="12"/>
        <color rgb="FF000000"/>
        <rFont val="Times New Roman"/>
        <family val="1"/>
      </rPr>
      <t>/h) ;</t>
    </r>
  </si>
  <si>
    <r>
      <t xml:space="preserve">·         I       : pente (%), négative s'elle est </t>
    </r>
    <r>
      <rPr>
        <sz val="12"/>
        <rFont val="Times New Roman"/>
        <family val="1"/>
      </rPr>
      <t>descendante et positive s’elle est ascendante ;</t>
    </r>
  </si>
  <si>
    <t>·         Lpn   : longueur à laquelle la pression effective est minimale (m) ;</t>
  </si>
  <si>
    <t>·         Lpx   : longueur à laquelle la pression effective est maximale (m) ;</t>
  </si>
  <si>
    <t>·         ∆Ppr   : Variation maximale de pression (mCE).</t>
  </si>
  <si>
    <t>C-2-5-Variation maximale de pression par unité :</t>
  </si>
  <si>
    <t>·         Pe : Pression requise à l’amont immédiat de la vanne (mCE) ;</t>
  </si>
  <si>
    <t>·         Pn : Pression au distributeur le plus défavorisé (mCE) ;</t>
  </si>
  <si>
    <t>·         Px : Pression au distributeur le plus favorisé (mCE).</t>
  </si>
  <si>
    <r>
      <t>Débits (m</t>
    </r>
    <r>
      <rPr>
        <b/>
        <vertAlign val="superscript"/>
        <sz val="12"/>
        <rFont val="Times New Roman"/>
        <family val="1"/>
      </rPr>
      <t>3</t>
    </r>
    <r>
      <rPr>
        <b/>
        <sz val="12"/>
        <rFont val="Times New Roman"/>
        <family val="1"/>
      </rPr>
      <t>/h)</t>
    </r>
  </si>
  <si>
    <t>Vanne manuelle</t>
  </si>
  <si>
    <t>Pertes de charge (mCE)</t>
  </si>
  <si>
    <t>Diamétre</t>
  </si>
  <si>
    <t>PVC</t>
  </si>
  <si>
    <t>C-2-7-Conduites principales :</t>
  </si>
  <si>
    <t>Trançon</t>
  </si>
  <si>
    <t>Débit (m3/h)</t>
  </si>
  <si>
    <t>Diamètre ext. (mm)</t>
  </si>
  <si>
    <t>Diamètre int. 
(mm)</t>
  </si>
  <si>
    <t>Vitesse (m/s)</t>
  </si>
  <si>
    <t>C-2-8-Pression  en tête des postes :</t>
  </si>
  <si>
    <t>Tronçons</t>
  </si>
  <si>
    <t>L(m)</t>
  </si>
  <si>
    <t>Q (m3/h)</t>
  </si>
  <si>
    <t>DZ (m)</t>
  </si>
  <si>
    <t>PDC (l+s) (mCE)</t>
  </si>
  <si>
    <t xml:space="preserve">·         </t>
  </si>
  <si>
    <t>D : diamètre de la conduite (m),</t>
  </si>
  <si>
    <t>PDC  : Perte de charge totale(linéaire et singulière) (mce),</t>
  </si>
  <si>
    <t>∆Z : Dénivelée (m), négative si la pente est descendante,</t>
  </si>
  <si>
    <t>Pam : Pression à l’amont du tronçon (mCE);</t>
  </si>
  <si>
    <t>Pav : Pression à l’aval du tronçon (mCE);</t>
  </si>
  <si>
    <t>immédiat de la station de tête :</t>
  </si>
  <si>
    <t>mce</t>
  </si>
  <si>
    <r>
      <t>Pe</t>
    </r>
    <r>
      <rPr>
        <b/>
        <vertAlign val="subscript"/>
        <sz val="12"/>
        <color rgb="FF000000"/>
        <rFont val="Times New Roman"/>
        <family val="1"/>
      </rPr>
      <t>1</t>
    </r>
    <r>
      <rPr>
        <b/>
        <sz val="12"/>
        <color rgb="FF000000"/>
        <rFont val="Times New Roman"/>
        <family val="1"/>
      </rPr>
      <t xml:space="preserve"> (mCE)</t>
    </r>
  </si>
  <si>
    <r>
      <t>Pe</t>
    </r>
    <r>
      <rPr>
        <b/>
        <vertAlign val="subscript"/>
        <sz val="12"/>
        <color rgb="FF000000"/>
        <rFont val="Times New Roman"/>
        <family val="1"/>
      </rPr>
      <t>2</t>
    </r>
    <r>
      <rPr>
        <b/>
        <sz val="12"/>
        <color rgb="FF000000"/>
        <rFont val="Times New Roman"/>
        <family val="1"/>
      </rPr>
      <t xml:space="preserve"> (mCE)</t>
    </r>
  </si>
  <si>
    <t>Px (mCE)</t>
  </si>
  <si>
    <t>Pn (mCE)</t>
  </si>
  <si>
    <t>·         Pe1 : Pression à l’amont immédiat de la vanne (mCE) ;</t>
  </si>
  <si>
    <t>·         Pe2 : Pression à l’aval immédiat de la vanne (mCE) ;</t>
  </si>
  <si>
    <t>·         Pn : Pression au distributeur le plus défavorisé (mCE) ;</t>
  </si>
  <si>
    <t>D-GROUPE MOTOPOMPE POUR BASSIN:</t>
  </si>
  <si>
    <t>D-1-Station de tete :</t>
  </si>
  <si>
    <t xml:space="preserve"> Hauteur Manométrique Totale :</t>
  </si>
  <si>
    <t>m3/h</t>
  </si>
  <si>
    <t>D-2-La puissance de la pompe :</t>
  </si>
  <si>
    <r>
      <t xml:space="preserve">P </t>
    </r>
    <r>
      <rPr>
        <sz val="12"/>
        <color indexed="8"/>
        <rFont val="Times New Roman"/>
        <family val="1"/>
      </rPr>
      <t>pompe</t>
    </r>
    <r>
      <rPr>
        <b/>
        <sz val="12"/>
        <color indexed="8"/>
        <rFont val="Times New Roman"/>
        <family val="1"/>
      </rPr>
      <t xml:space="preserve"> (KW) = ( ρ x g x HMT x Q ) / ( µ x 1000)</t>
    </r>
  </si>
  <si>
    <t xml:space="preserve"> </t>
  </si>
  <si>
    <r>
      <t xml:space="preserve">P </t>
    </r>
    <r>
      <rPr>
        <sz val="12"/>
        <color indexed="8"/>
        <rFont val="Times New Roman"/>
        <family val="1"/>
      </rPr>
      <t>pompe</t>
    </r>
    <r>
      <rPr>
        <b/>
        <sz val="12"/>
        <color indexed="8"/>
        <rFont val="Times New Roman"/>
        <family val="1"/>
      </rPr>
      <t xml:space="preserve"> (CV) = P pompe (KW) x 1,36 </t>
    </r>
  </si>
  <si>
    <t>Q</t>
  </si>
  <si>
    <t>H.M.T</t>
  </si>
  <si>
    <t>µ</t>
  </si>
  <si>
    <t>P pompe</t>
  </si>
  <si>
    <t>KW</t>
  </si>
  <si>
    <r>
      <t>Avec</t>
    </r>
    <r>
      <rPr>
        <sz val="12"/>
        <color indexed="8"/>
        <rFont val="Times New Roman"/>
        <family val="1"/>
      </rPr>
      <t xml:space="preserve"> :</t>
    </r>
  </si>
  <si>
    <r>
      <t xml:space="preserve">Q   </t>
    </r>
    <r>
      <rPr>
        <sz val="12"/>
        <color indexed="8"/>
        <rFont val="Times New Roman"/>
        <family val="1"/>
      </rPr>
      <t xml:space="preserve">    </t>
    </r>
  </si>
  <si>
    <t>: Débit  (m3/s)</t>
  </si>
  <si>
    <r>
      <t>HMT</t>
    </r>
    <r>
      <rPr>
        <sz val="12"/>
        <color indexed="8"/>
        <rFont val="Times New Roman"/>
        <family val="1"/>
      </rPr>
      <t xml:space="preserve"> </t>
    </r>
    <r>
      <rPr>
        <b/>
        <sz val="12"/>
        <color indexed="8"/>
        <rFont val="Times New Roman"/>
        <family val="1"/>
      </rPr>
      <t/>
    </r>
  </si>
  <si>
    <t>: Hauteur manométrique totale (mce )</t>
  </si>
  <si>
    <r>
      <t>µ</t>
    </r>
    <r>
      <rPr>
        <sz val="12"/>
        <color indexed="8"/>
        <rFont val="Times New Roman"/>
        <family val="1"/>
      </rPr>
      <t xml:space="preserve">       </t>
    </r>
    <r>
      <rPr>
        <b/>
        <sz val="12"/>
        <color indexed="8"/>
        <rFont val="Times New Roman"/>
        <family val="1"/>
      </rPr>
      <t/>
    </r>
  </si>
  <si>
    <t>: Rendement de la pompe (%)</t>
  </si>
  <si>
    <r>
      <t>ρ</t>
    </r>
    <r>
      <rPr>
        <sz val="12"/>
        <color indexed="8"/>
        <rFont val="Times New Roman"/>
        <family val="1"/>
      </rPr>
      <t xml:space="preserve">       </t>
    </r>
  </si>
  <si>
    <t>: Masse volumique de l'eau ( Kg/m3)</t>
  </si>
  <si>
    <t>g</t>
  </si>
  <si>
    <t>:  l'accéleration</t>
  </si>
  <si>
    <t>D-3-La puissance du moteur :</t>
  </si>
  <si>
    <t>P moteur = (P pompe + λ %) / η</t>
  </si>
  <si>
    <t>η</t>
  </si>
  <si>
    <t>P moteur</t>
  </si>
  <si>
    <t>E-GROUPE MOTOPOMPE POUR :</t>
  </si>
  <si>
    <t>Tronçon</t>
  </si>
  <si>
    <t>Long</t>
  </si>
  <si>
    <t>Débit</t>
  </si>
  <si>
    <t>Diamètre</t>
  </si>
  <si>
    <t>Pdc+∆ Z</t>
  </si>
  <si>
    <t xml:space="preserve">Vitesse </t>
  </si>
  <si>
    <t>( m3/h )</t>
  </si>
  <si>
    <t xml:space="preserve"> (mm)</t>
  </si>
  <si>
    <t>- Bassin</t>
  </si>
  <si>
    <t>»Hauteur d'aspiration :</t>
  </si>
  <si>
    <t>»Pertes de charge au niveau de la conduite d'amené :</t>
  </si>
  <si>
    <t>Hauteur Manométrique Totale :</t>
  </si>
  <si>
    <t>E-1-La puissance de la pompe :</t>
  </si>
  <si>
    <t>E-2-La puissance du moteur :</t>
  </si>
  <si>
    <t>F-BASSIN DE STOCKAGE:</t>
  </si>
  <si>
    <t xml:space="preserve">• Besoin journalier pendant le mois de pointe : </t>
  </si>
  <si>
    <t>m3/j</t>
  </si>
  <si>
    <t xml:space="preserve">Bassin proposé :   </t>
  </si>
  <si>
    <t xml:space="preserve">» Dimensions au radier   : </t>
  </si>
  <si>
    <r>
      <t xml:space="preserve">» Capacité Utile           : </t>
    </r>
    <r>
      <rPr>
        <b/>
        <i/>
        <sz val="11"/>
        <color theme="1"/>
        <rFont val="Times New Roman"/>
        <family val="1"/>
      </rPr>
      <t/>
    </r>
  </si>
  <si>
    <r>
      <t xml:space="preserve">» Quantité totale du revêtement (géo membrane) : </t>
    </r>
    <r>
      <rPr>
        <b/>
        <i/>
        <sz val="11"/>
        <color theme="1"/>
        <rFont val="Times New Roman"/>
        <family val="1"/>
      </rPr>
      <t/>
    </r>
  </si>
  <si>
    <t>FICHE TECHNIQUE DU BASSIN  DE STOCKAGE</t>
  </si>
  <si>
    <t>Dimensions</t>
  </si>
  <si>
    <t>Volume</t>
  </si>
  <si>
    <t>Volume. Total</t>
  </si>
  <si>
    <t>Dimensions en Gueule</t>
  </si>
  <si>
    <t>Volume de la revanche</t>
  </si>
  <si>
    <t>Longueur</t>
  </si>
  <si>
    <t>Volume Utile</t>
  </si>
  <si>
    <t>Largeur</t>
  </si>
  <si>
    <t>Estimation Géomembrane</t>
  </si>
  <si>
    <t>Profondeur</t>
  </si>
  <si>
    <t>Surface Totale</t>
  </si>
  <si>
    <t>Talus</t>
  </si>
  <si>
    <t>Surface Utile</t>
  </si>
  <si>
    <t>Revanche</t>
  </si>
  <si>
    <t>Longueur du Talus</t>
  </si>
  <si>
    <t>Superficie</t>
  </si>
  <si>
    <t>Surface d'ancrage</t>
  </si>
  <si>
    <t>Dimensions au radier</t>
  </si>
  <si>
    <t>Chevauchement et chutes</t>
  </si>
  <si>
    <t>Digue</t>
  </si>
  <si>
    <t>Largeur de la digue</t>
  </si>
  <si>
    <t>Dimensions au miroir</t>
  </si>
  <si>
    <t>Dimensions moyennes</t>
  </si>
  <si>
    <t>Profondeur Utile</t>
  </si>
  <si>
    <t>Dimensions au miroir moyen</t>
  </si>
  <si>
    <t>Mouvement des terres</t>
  </si>
  <si>
    <t>Prof. de deblai:</t>
  </si>
  <si>
    <t>Volume des deblais.</t>
  </si>
  <si>
    <t>Surf. moy.  Revanche</t>
  </si>
  <si>
    <t>Volume des remblais</t>
  </si>
  <si>
    <t>Superficie Totale :</t>
  </si>
  <si>
    <t>Superfcie nette à équiper :</t>
  </si>
  <si>
    <t>Commune Rurale :</t>
  </si>
  <si>
    <t>Province :</t>
  </si>
  <si>
    <t xml:space="preserve">Adresse Complète de L'exploitation Agricole :  </t>
  </si>
  <si>
    <t>Exploitation de :</t>
  </si>
  <si>
    <t xml:space="preserve">1-   Identification de l'exploitation </t>
  </si>
  <si>
    <t>2-   DONNEES DE BASE</t>
  </si>
  <si>
    <t>3-   BESOINS EN EAU</t>
  </si>
  <si>
    <t>4-   CALCULS HYDRAULIQUES</t>
  </si>
  <si>
    <t>5-   Groupe(s) motopompe(s)</t>
  </si>
  <si>
    <t>6-   Bassin de stockage</t>
  </si>
  <si>
    <t>S O M M A I R E</t>
  </si>
  <si>
    <t>C I N :</t>
  </si>
  <si>
    <r>
      <t>·</t>
    </r>
    <r>
      <rPr>
        <sz val="12"/>
        <color rgb="FF000000"/>
        <rFont val="Times New Roman"/>
        <family val="1"/>
      </rPr>
      <t xml:space="preserve"> Ep : Ecartement entre pieds</t>
    </r>
  </si>
  <si>
    <r>
      <t>·</t>
    </r>
    <r>
      <rPr>
        <sz val="12"/>
        <color rgb="FF000000"/>
        <rFont val="Times New Roman"/>
        <family val="1"/>
      </rPr>
      <t xml:space="preserve"> El : Ecartement entre lignes</t>
    </r>
  </si>
  <si>
    <t>Le réseau d'irrigation a la parcelle sera desservi par les eaux d'un seul Puits.</t>
  </si>
  <si>
    <t>Distributeurs</t>
  </si>
  <si>
    <t>Débit moyen</t>
  </si>
  <si>
    <t>Ecartement entre les distributeurs</t>
  </si>
  <si>
    <t>Ecartement entre les lignes </t>
  </si>
  <si>
    <t>Nombre de rampes par ligne de culture</t>
  </si>
  <si>
    <t>Pression de service du distributeur </t>
  </si>
  <si>
    <t>Loi débit-pression </t>
  </si>
  <si>
    <t xml:space="preserve">Ed : Ecartement entre les distributeurs </t>
  </si>
  <si>
    <t>Ps : Pression de service du distributeur </t>
  </si>
  <si>
    <t>Qm : Débit moyen du goutteur (voir bulletin d’essai)</t>
  </si>
  <si>
    <t>l/s</t>
  </si>
  <si>
    <t xml:space="preserve">Voir Bulletin d’essai </t>
  </si>
  <si>
    <t>10 mce</t>
  </si>
  <si>
    <t>Pf : Pluviométrie fictive (mm/h) ;</t>
  </si>
  <si>
    <t>qg : Débit du goutteur (l/h) ;</t>
  </si>
  <si>
    <t>Eg : Ecartement entre goutteurs (m) ;</t>
  </si>
  <si>
    <t>Nr : Nombre de ligne ;</t>
  </si>
  <si>
    <t>Bb : Besoin brute (mm/j) en jours de point ;</t>
  </si>
  <si>
    <t>T : Durée d’irrigation(h) ;</t>
  </si>
  <si>
    <t>El : Ecartement entre ligne (m).</t>
  </si>
  <si>
    <t>El : Ecartement entre lignes (m) ;</t>
  </si>
  <si>
    <t>Caractéristique</t>
  </si>
  <si>
    <t>Pluviométrie calculée (mm /h)</t>
  </si>
  <si>
    <r>
      <t>Pf =q</t>
    </r>
    <r>
      <rPr>
        <vertAlign val="subscript"/>
        <sz val="11"/>
        <color rgb="FF000000"/>
        <rFont val="Times New Roman"/>
        <family val="1"/>
      </rPr>
      <t>g</t>
    </r>
    <r>
      <rPr>
        <sz val="11"/>
        <color rgb="FF000000"/>
        <rFont val="Times New Roman"/>
        <family val="1"/>
      </rPr>
      <t>/S</t>
    </r>
    <r>
      <rPr>
        <vertAlign val="subscript"/>
        <sz val="11"/>
        <color rgb="FF000000"/>
        <rFont val="Times New Roman"/>
        <family val="1"/>
      </rPr>
      <t>g</t>
    </r>
  </si>
  <si>
    <t xml:space="preserve">Besoin brut (mm) </t>
  </si>
  <si>
    <t>Bb = KC x Eto x Kr</t>
  </si>
  <si>
    <t>Durée d’irrigation par secteur (h / jour)</t>
  </si>
  <si>
    <r>
      <t>T=B</t>
    </r>
    <r>
      <rPr>
        <vertAlign val="subscript"/>
        <sz val="11"/>
        <color rgb="FF000000"/>
        <rFont val="Times New Roman"/>
        <family val="1"/>
      </rPr>
      <t>b</t>
    </r>
    <r>
      <rPr>
        <sz val="11"/>
        <color rgb="FF000000"/>
        <rFont val="Times New Roman"/>
        <family val="1"/>
      </rPr>
      <t>/P</t>
    </r>
    <r>
      <rPr>
        <vertAlign val="subscript"/>
        <sz val="11"/>
        <color rgb="FF000000"/>
        <rFont val="Times New Roman"/>
        <family val="1"/>
      </rPr>
      <t>f</t>
    </r>
  </si>
  <si>
    <r>
      <t>Y</t>
    </r>
    <r>
      <rPr>
        <b/>
        <vertAlign val="subscript"/>
        <sz val="12"/>
        <rFont val="Times New Roman"/>
        <family val="1"/>
      </rPr>
      <t>i</t>
    </r>
    <r>
      <rPr>
        <b/>
        <sz val="12"/>
        <rFont val="Times New Roman"/>
        <family val="1"/>
      </rPr>
      <t xml:space="preserve">  </t>
    </r>
    <r>
      <rPr>
        <sz val="12"/>
        <rFont val="Times New Roman"/>
        <family val="1"/>
      </rPr>
      <t xml:space="preserve"> : perte de charge totale (linéaire + singulière) du tronçon i (mce).</t>
    </r>
  </si>
  <si>
    <t>Mce</t>
  </si>
  <si>
    <t>Parcelle</t>
  </si>
  <si>
    <t>Densité (m × m)</t>
  </si>
  <si>
    <t>Nb Rampe/Lin</t>
  </si>
  <si>
    <t>Nb plante</t>
  </si>
  <si>
    <t>Débit Goutt, (l/h)</t>
  </si>
  <si>
    <t>E, Goutt (m)</t>
  </si>
  <si>
    <t>Pluvio, (mm/h)</t>
  </si>
  <si>
    <t>Q Parc,(m3/h)</t>
  </si>
  <si>
    <t>Nbre de Secteur</t>
  </si>
  <si>
    <t>Sup,Sect, (m2)</t>
  </si>
  <si>
    <t>Besoin  culture (mm/j)</t>
  </si>
  <si>
    <t>Temps d'irrigation</t>
  </si>
  <si>
    <t>Temps Total (h)</t>
  </si>
  <si>
    <t>Bb,jour, (m3/j)</t>
  </si>
  <si>
    <t>VARIATION</t>
  </si>
  <si>
    <t>A</t>
  </si>
  <si>
    <t>h</t>
  </si>
  <si>
    <t>I (%)</t>
  </si>
  <si>
    <t>Lpn (m)</t>
  </si>
  <si>
    <t>Lpx (m)</t>
  </si>
  <si>
    <t>∆Z (mCE)</t>
  </si>
  <si>
    <t>Lpr (m)</t>
  </si>
  <si>
    <t>Longueur par type de diamètre (m)</t>
  </si>
  <si>
    <t>Vitesse de Chaque Diamétre</t>
  </si>
  <si>
    <t>Q110</t>
  </si>
  <si>
    <t>Q90</t>
  </si>
  <si>
    <t>Q75</t>
  </si>
  <si>
    <t>Q63</t>
  </si>
  <si>
    <t>Q50</t>
  </si>
  <si>
    <t>Ø110</t>
  </si>
  <si>
    <t>Ø90</t>
  </si>
  <si>
    <t>Ø75</t>
  </si>
  <si>
    <t>Ø63</t>
  </si>
  <si>
    <t>Ø50</t>
  </si>
  <si>
    <t>Antennes secondaires</t>
  </si>
  <si>
    <t>Long (m)</t>
  </si>
  <si>
    <t>DN (mm)</t>
  </si>
  <si>
    <t>DI (mm)</t>
  </si>
  <si>
    <t>V (m/s)</t>
  </si>
  <si>
    <t>ΔZ (m)</t>
  </si>
  <si>
    <t>Y(L+S) (mCE)</t>
  </si>
  <si>
    <t>ΔP (mCE)</t>
  </si>
  <si>
    <t>TOTAL</t>
  </si>
  <si>
    <t>Pe (mCE)</t>
  </si>
  <si>
    <t>ΔP r</t>
  </si>
  <si>
    <t>ΔP pr</t>
  </si>
  <si>
    <t>Lr(m)</t>
  </si>
  <si>
    <t>D (mm)</t>
  </si>
  <si>
    <t>Superficies</t>
  </si>
  <si>
    <t>E line</t>
  </si>
  <si>
    <t>E goutteur</t>
  </si>
  <si>
    <t>Nb Depart</t>
  </si>
  <si>
    <t>Nb goutteur</t>
  </si>
  <si>
    <t xml:space="preserve">DN Tuyau </t>
  </si>
  <si>
    <t xml:space="preserve">L Tuyau </t>
  </si>
  <si>
    <r>
      <t>Qpr (m</t>
    </r>
    <r>
      <rPr>
        <b/>
        <vertAlign val="superscript"/>
        <sz val="12"/>
        <rFont val="Times New Roman"/>
        <family val="1"/>
      </rPr>
      <t>3</t>
    </r>
    <r>
      <rPr>
        <b/>
        <sz val="12"/>
        <rFont val="Times New Roman"/>
        <family val="1"/>
      </rPr>
      <t>/h)</t>
    </r>
  </si>
  <si>
    <t>Douar :</t>
  </si>
  <si>
    <t>A- IDENTIFICATION DE L'EXPLOITATION :</t>
  </si>
  <si>
    <t>Hauteur d'aspiration :</t>
  </si>
  <si>
    <t>Pertes de charge maximales au niveau de la station de tête :</t>
  </si>
  <si>
    <t>Pression à l’aval immédiat de la station de tête :</t>
  </si>
  <si>
    <r>
      <rPr>
        <b/>
        <sz val="13"/>
        <color indexed="8"/>
        <rFont val="Times New Roman"/>
        <family val="1"/>
      </rPr>
      <t xml:space="preserve"> Débit :</t>
    </r>
    <r>
      <rPr>
        <sz val="12"/>
        <color indexed="8"/>
        <rFont val="Cambria"/>
        <family val="1"/>
      </rPr>
      <t/>
    </r>
  </si>
  <si>
    <t>cv</t>
  </si>
  <si>
    <t>La puissance Commercialisé du Moteur =</t>
  </si>
  <si>
    <t xml:space="preserve">Goutteur bouton autorégulant </t>
  </si>
  <si>
    <t>V (m/s )</t>
  </si>
  <si>
    <t>• Nombre de jours d’autonomie d’irrigation pendant le mois de pointe :</t>
  </si>
  <si>
    <t>Fonte encrassée</t>
  </si>
  <si>
    <t>Aluminium</t>
  </si>
  <si>
    <t>Fonte revêtue</t>
  </si>
  <si>
    <t xml:space="preserve">Acier </t>
  </si>
  <si>
    <t>PE</t>
  </si>
  <si>
    <t>C</t>
  </si>
  <si>
    <t>Nature du tuyau</t>
  </si>
  <si>
    <t>Vannes PVC compression</t>
  </si>
  <si>
    <t>Vannes Papillon complet</t>
  </si>
  <si>
    <t>Vannes double Raccord</t>
  </si>
  <si>
    <t>Vannes seul Raccord</t>
  </si>
  <si>
    <t>Q max (l/h)</t>
  </si>
  <si>
    <r>
      <t>Q max (m</t>
    </r>
    <r>
      <rPr>
        <vertAlign val="superscript"/>
        <sz val="12"/>
        <color theme="1"/>
        <rFont val="Times New Roman"/>
        <family val="1"/>
      </rPr>
      <t>3</t>
    </r>
    <r>
      <rPr>
        <sz val="12"/>
        <color theme="1"/>
        <rFont val="Times New Roman"/>
        <family val="1"/>
      </rPr>
      <t>/h)</t>
    </r>
  </si>
  <si>
    <t>Ep (mm)</t>
  </si>
  <si>
    <t>Prix Unitaire des vannes à coller en DH</t>
  </si>
  <si>
    <t>DN /DI et Qmax des canalisation comercialisés</t>
  </si>
  <si>
    <t>Total SECTEUR</t>
  </si>
  <si>
    <t>jours</t>
  </si>
  <si>
    <t>Surface</t>
  </si>
  <si>
    <t>subvention</t>
  </si>
  <si>
    <t>Périmètre :</t>
  </si>
  <si>
    <t>Clôture</t>
  </si>
  <si>
    <t>Nbre de poteaux :</t>
  </si>
  <si>
    <t>Espacement des poteaux:</t>
  </si>
  <si>
    <t>Surface du grillage</t>
  </si>
  <si>
    <t>Longueur Rouleau.grillage</t>
  </si>
  <si>
    <t>Nbre de Rouleaux du grillage :</t>
  </si>
  <si>
    <t>Hauteur du grillage</t>
  </si>
  <si>
    <t>Fiche Technique du Bassin</t>
  </si>
  <si>
    <t>Section des remblais</t>
  </si>
  <si>
    <t xml:space="preserve">» Commune Rurale : </t>
  </si>
  <si>
    <t>10</t>
  </si>
  <si>
    <t>mCE</t>
  </si>
  <si>
    <t>Heure</t>
  </si>
  <si>
    <t>mm</t>
  </si>
  <si>
    <t>mm/h</t>
  </si>
  <si>
    <t>L/H</t>
  </si>
  <si>
    <t>G à G</t>
  </si>
  <si>
    <t>CULTURE</t>
  </si>
  <si>
    <t>UNITES</t>
  </si>
  <si>
    <t xml:space="preserve">PLAN ET PARAMETRE DE L'IRRIGATION </t>
  </si>
  <si>
    <t>BASSIN</t>
  </si>
  <si>
    <t>Dimensions en gueule (m)</t>
  </si>
  <si>
    <t xml:space="preserve">Dimensions au radier (m)       </t>
  </si>
  <si>
    <t>Hauteur totale (m)</t>
  </si>
  <si>
    <t xml:space="preserve">Capacité totale (m3)            </t>
  </si>
  <si>
    <t xml:space="preserve">Capacité utile (m3)                   </t>
  </si>
  <si>
    <t>Revanche (m)</t>
  </si>
  <si>
    <t>Coordonnées</t>
  </si>
  <si>
    <t>Pav (mCE)</t>
  </si>
  <si>
    <t>Pam (mCE)</t>
  </si>
  <si>
    <t>PVC a coller</t>
  </si>
  <si>
    <t>bassin</t>
  </si>
  <si>
    <t>Nb de Goutt</t>
  </si>
  <si>
    <t>Vanne papillon ø 110</t>
  </si>
  <si>
    <t>TOTALE</t>
  </si>
  <si>
    <t>ΔP rampe</t>
  </si>
  <si>
    <t>ΔP porte rampe</t>
  </si>
  <si>
    <t>Forage 2</t>
  </si>
  <si>
    <t>Nb de Goutt par arbre</t>
  </si>
  <si>
    <t>pour maraichage</t>
  </si>
  <si>
    <t>Mr. Mostapha Zoubaa</t>
  </si>
  <si>
    <t>Mme. Fatima Zoubaa</t>
  </si>
  <si>
    <t>LF27997</t>
  </si>
  <si>
    <t>S649496</t>
  </si>
  <si>
    <t>ENGAGEMENT FOURNISSEUR</t>
  </si>
  <si>
    <r>
      <rPr>
        <sz val="11"/>
        <color theme="1"/>
        <rFont val="Calibri"/>
        <family val="2"/>
      </rPr>
      <t>●</t>
    </r>
    <r>
      <rPr>
        <sz val="14"/>
        <color theme="1"/>
        <rFont val="Times New Roman"/>
        <family val="1"/>
      </rPr>
      <t xml:space="preserve"> Bénéficiaires : </t>
    </r>
  </si>
  <si>
    <r>
      <rPr>
        <sz val="11"/>
        <color theme="1"/>
        <rFont val="Calibri"/>
        <family val="2"/>
      </rPr>
      <t>●</t>
    </r>
    <r>
      <rPr>
        <sz val="14"/>
        <color theme="1"/>
        <rFont val="Times New Roman"/>
        <family val="1"/>
      </rPr>
      <t xml:space="preserve"> C I N : </t>
    </r>
  </si>
  <si>
    <r>
      <rPr>
        <sz val="11"/>
        <color theme="1"/>
        <rFont val="Times New Roman"/>
        <family val="1"/>
      </rPr>
      <t>●</t>
    </r>
    <r>
      <rPr>
        <sz val="14"/>
        <color theme="1"/>
        <rFont val="Times New Roman"/>
        <family val="1"/>
      </rPr>
      <t xml:space="preserve"> Lieu d’installation (exploitation de l’investissement) : </t>
    </r>
  </si>
  <si>
    <t xml:space="preserve">Douar : </t>
  </si>
  <si>
    <t xml:space="preserve">Commune Rurale : </t>
  </si>
  <si>
    <t xml:space="preserve">Cercle : </t>
  </si>
  <si>
    <t xml:space="preserve">Province : </t>
  </si>
  <si>
    <t>● Superficie totale de l’exploitation :</t>
  </si>
  <si>
    <r>
      <t>● Superficie nette équipée (</t>
    </r>
    <r>
      <rPr>
        <sz val="11"/>
        <color theme="1"/>
        <rFont val="Times New Roman"/>
        <family val="1"/>
      </rPr>
      <t>objet de la demande de subvention et de la prime</t>
    </r>
    <r>
      <rPr>
        <sz val="14"/>
        <color theme="1"/>
        <rFont val="Times New Roman"/>
        <family val="1"/>
      </rPr>
      <t>) :</t>
    </r>
    <r>
      <rPr>
        <b/>
        <sz val="14"/>
        <color theme="1"/>
        <rFont val="Times New Roman"/>
        <family val="1"/>
      </rPr>
      <t xml:space="preserve"> </t>
    </r>
  </si>
  <si>
    <t>Signature et cachet du fournisseur :</t>
  </si>
  <si>
    <t>Fait à Guercif le :</t>
  </si>
  <si>
    <t>Declaration Sur L’honneur Relative Au
Point De Prelevement D’eau Pour L’irrigation</t>
  </si>
  <si>
    <t xml:space="preserve">Je soussigné </t>
  </si>
  <si>
    <t xml:space="preserve">Références foncières : </t>
  </si>
  <si>
    <t>Atteste sur mon honneur, par la présente, que le point de prélèvement d’eau objet du dossier de demande d’approbation préalable du projet d’aménagement en irrigation, présente les caractéristiques suivantes :</t>
  </si>
  <si>
    <t>• Type de ressource :</t>
  </si>
  <si>
    <t>• Coordonnées Lambert :</t>
  </si>
  <si>
    <t>• Profondeur total :</t>
  </si>
  <si>
    <t>• Niveau statique :</t>
  </si>
  <si>
    <t>• Niveau dynamique :</t>
  </si>
  <si>
    <t>• Débit d’exploitation  :</t>
  </si>
  <si>
    <t>• Durée de fonctionnement :</t>
  </si>
  <si>
    <t>• Volume d’eau maximum disponible  :</t>
  </si>
  <si>
    <t>Et ce, dans le cadre des aides financières de l’état  (Fond de Développement Agricole).</t>
  </si>
  <si>
    <t>D’autre part, je m’engage à assumer la pleine responsabilité dans le cas où les caractéristiques ci-dessous ne sont pas garanties après la mise en marche des installations objet du projet.</t>
  </si>
  <si>
    <t>A………………………………………………,le…………………………………</t>
  </si>
  <si>
    <t>Signature légalisée du postulant</t>
  </si>
  <si>
    <t xml:space="preserve">Nom et prénom et C I N : </t>
  </si>
  <si>
    <t>1. Personne physique ou morale.
2. Préciser le nom du périmètre d’irrigation , si l’investissement est réalisé à l’intérieur d’un périmètre de grande hydraulique ou de PMH .</t>
  </si>
  <si>
    <t>Etude et Réalisation des Projets d’Irrigation – Travaux Divers
Md. De Fournitures de Matériel Agricole</t>
  </si>
  <si>
    <t>PROJET D’EQUIPEMENT EN MATERIEL D’IRRIGATION LOCALISEE</t>
  </si>
  <si>
    <t>C-2-6-2 Vannes en tête des unités :</t>
  </si>
  <si>
    <t>Olivier</t>
  </si>
  <si>
    <t>R1</t>
  </si>
  <si>
    <t>R2</t>
  </si>
  <si>
    <r>
      <t xml:space="preserve">Le réseau d’irrigation sera desservi par un BASSIN alimenté avec </t>
    </r>
    <r>
      <rPr>
        <b/>
        <sz val="12"/>
        <color theme="1"/>
        <rFont val="Times New Roman"/>
        <family val="1"/>
      </rPr>
      <t>Forage</t>
    </r>
    <r>
      <rPr>
        <sz val="12"/>
        <color theme="1"/>
        <rFont val="Times New Roman"/>
        <family val="1"/>
      </rPr>
      <t xml:space="preserve"> dont les caractéristiques suivantes :</t>
    </r>
  </si>
  <si>
    <r>
      <t xml:space="preserve">NB : </t>
    </r>
    <r>
      <rPr>
        <b/>
        <sz val="12"/>
        <color theme="1"/>
        <rFont val="Symbol"/>
        <family val="1"/>
        <charset val="2"/>
      </rPr>
      <t>D</t>
    </r>
    <r>
      <rPr>
        <b/>
        <sz val="12"/>
        <color theme="1"/>
        <rFont val="Times New Roman"/>
        <family val="1"/>
      </rPr>
      <t>P = 2.12</t>
    </r>
    <r>
      <rPr>
        <b/>
        <sz val="12"/>
        <color rgb="FFFF0000"/>
        <rFont val="Times New Roman"/>
        <family val="1"/>
      </rPr>
      <t xml:space="preserve"> mCe</t>
    </r>
  </si>
  <si>
    <t>Vannes</t>
  </si>
  <si>
    <t>TERASEMENTS TRANCHEES POUR PVC 60cm</t>
  </si>
  <si>
    <t>-------------</t>
  </si>
  <si>
    <t>Heures</t>
  </si>
  <si>
    <t>(h)</t>
  </si>
  <si>
    <t>Culture Irriguer</t>
  </si>
  <si>
    <t>Superficie Irriguer (Net)</t>
  </si>
  <si>
    <t>Source D'eau</t>
  </si>
  <si>
    <t>Densite De La Culture</t>
  </si>
  <si>
    <t>Système D'irrigation</t>
  </si>
  <si>
    <t>Debit Moyen De L'emetteur</t>
  </si>
  <si>
    <t>Ecartement Des Emetteurs</t>
  </si>
  <si>
    <t xml:space="preserve">Ecartement Entre Les Lignes </t>
  </si>
  <si>
    <t>Nombre De Rampe Par Ligne</t>
  </si>
  <si>
    <t>Pluviometrie</t>
  </si>
  <si>
    <t xml:space="preserve">Somme Moyen De Consommation </t>
  </si>
  <si>
    <t>Duree D'irrigation Par Operation</t>
  </si>
  <si>
    <t>Decharge Maximum Par Operation</t>
  </si>
  <si>
    <t>Pression Requise A L'emetteur</t>
  </si>
  <si>
    <t>PARAMETRE</t>
  </si>
  <si>
    <t>P station</t>
  </si>
  <si>
    <r>
      <t>P e</t>
    </r>
    <r>
      <rPr>
        <vertAlign val="subscript"/>
        <sz val="11"/>
        <rFont val="Times New Roman"/>
        <family val="1"/>
      </rPr>
      <t>1</t>
    </r>
  </si>
  <si>
    <r>
      <t>m</t>
    </r>
    <r>
      <rPr>
        <vertAlign val="superscript"/>
        <sz val="14"/>
        <color theme="1"/>
        <rFont val="Times New Roman"/>
        <family val="1"/>
      </rPr>
      <t>2</t>
    </r>
  </si>
  <si>
    <r>
      <t>m</t>
    </r>
    <r>
      <rPr>
        <vertAlign val="superscript"/>
        <sz val="14"/>
        <color theme="1"/>
        <rFont val="Times New Roman"/>
        <family val="1"/>
      </rPr>
      <t>3</t>
    </r>
    <r>
      <rPr>
        <sz val="14"/>
        <color theme="1"/>
        <rFont val="Times New Roman"/>
        <family val="1"/>
      </rPr>
      <t>/h</t>
    </r>
  </si>
  <si>
    <t>Circle :</t>
  </si>
  <si>
    <t>: l'accéleration</t>
  </si>
  <si>
    <t>ΔP</t>
  </si>
  <si>
    <r>
      <t>Superficie (m</t>
    </r>
    <r>
      <rPr>
        <vertAlign val="superscript"/>
        <sz val="10"/>
        <rFont val="Times New Roman"/>
        <family val="1"/>
      </rPr>
      <t>2</t>
    </r>
    <r>
      <rPr>
        <sz val="10"/>
        <rFont val="Times New Roman"/>
        <family val="1"/>
      </rPr>
      <t>)</t>
    </r>
  </si>
  <si>
    <r>
      <t>Q Sect (m</t>
    </r>
    <r>
      <rPr>
        <vertAlign val="superscript"/>
        <sz val="10"/>
        <rFont val="Times New Roman"/>
        <family val="1"/>
      </rPr>
      <t>3</t>
    </r>
    <r>
      <rPr>
        <sz val="10"/>
        <rFont val="Times New Roman"/>
        <family val="1"/>
      </rPr>
      <t>/h)</t>
    </r>
  </si>
  <si>
    <r>
      <t>Q (m</t>
    </r>
    <r>
      <rPr>
        <b/>
        <vertAlign val="superscript"/>
        <sz val="10"/>
        <rFont val="Times New Roman"/>
        <family val="1"/>
      </rPr>
      <t>3</t>
    </r>
    <r>
      <rPr>
        <b/>
        <sz val="10"/>
        <rFont val="Times New Roman"/>
        <family val="1"/>
      </rPr>
      <t>/h)</t>
    </r>
  </si>
  <si>
    <t>T é l e s c o p i q u e</t>
  </si>
  <si>
    <t>Porte rampe</t>
  </si>
  <si>
    <t>Principal</t>
  </si>
  <si>
    <t>forage - bassin</t>
  </si>
  <si>
    <t>Dext</t>
  </si>
  <si>
    <t xml:space="preserve">» Hauteur totale           : </t>
  </si>
  <si>
    <t xml:space="preserve">» Dimensions en gueule  : </t>
  </si>
  <si>
    <t>» Capacité totale          :</t>
  </si>
  <si>
    <t>BILAN HYDRIQUE</t>
  </si>
  <si>
    <t>Mois</t>
  </si>
  <si>
    <t>Jan</t>
  </si>
  <si>
    <t>Févr</t>
  </si>
  <si>
    <t>Mars</t>
  </si>
  <si>
    <t>Avril</t>
  </si>
  <si>
    <t>Mai</t>
  </si>
  <si>
    <t>Juin</t>
  </si>
  <si>
    <t>Juill</t>
  </si>
  <si>
    <t>Août</t>
  </si>
  <si>
    <t>Sept</t>
  </si>
  <si>
    <t>Oct</t>
  </si>
  <si>
    <t>Nov</t>
  </si>
  <si>
    <t>Déc</t>
  </si>
  <si>
    <t>Pluviométrie ( mm/mois)</t>
  </si>
  <si>
    <t>P efficace (mm/mois)</t>
  </si>
  <si>
    <t>ET0 (mm/j)</t>
  </si>
  <si>
    <t>Nombre de jours / mois</t>
  </si>
  <si>
    <t>Kc</t>
  </si>
  <si>
    <t>ETM (mm/j)</t>
  </si>
  <si>
    <t>Kr</t>
  </si>
  <si>
    <t>Bn (mm/j)</t>
  </si>
  <si>
    <t>..</t>
  </si>
  <si>
    <t>Bb (mm/j)</t>
  </si>
  <si>
    <t>Bb (m3/ha/mois)</t>
  </si>
  <si>
    <t>superficie irriguée (ha)</t>
  </si>
  <si>
    <t>Bb (m3/mois)</t>
  </si>
  <si>
    <t>MARAICHAGE</t>
  </si>
  <si>
    <t>Abricot</t>
  </si>
  <si>
    <t>Besoins totaux (m3/mois)</t>
  </si>
  <si>
    <t>Supérficie totale (ha)</t>
  </si>
  <si>
    <t>Pluviométrie (mm/mois)</t>
  </si>
  <si>
    <t>Pluviométrie éfficace (m3/mois)</t>
  </si>
  <si>
    <t>Déficit (m3/mois)</t>
  </si>
  <si>
    <t>Source en eau</t>
  </si>
  <si>
    <t>FORAGE</t>
  </si>
  <si>
    <t>Q d'exploitation (m3/h)</t>
  </si>
  <si>
    <t>Durée de pompage (h/jr)</t>
  </si>
  <si>
    <t>Volume disponible (m3/mois)</t>
  </si>
  <si>
    <t>BILAN (RESSOURCE - DEFICIT)</t>
  </si>
  <si>
    <t>C-2-9- Pressions minimales et maximales aux goutteurs pour une pression  à l’aval</t>
  </si>
  <si>
    <t>totale</t>
  </si>
  <si>
    <r>
      <t xml:space="preserve">     B-3-1-Ressources en eau</t>
    </r>
    <r>
      <rPr>
        <b/>
        <sz val="12"/>
        <color rgb="FF4F6228"/>
        <rFont val="Times New Roman"/>
        <family val="1"/>
      </rPr>
      <t> :</t>
    </r>
  </si>
  <si>
    <t xml:space="preserve"> B-2-1-Texture           </t>
  </si>
  <si>
    <t xml:space="preserve"> B-2-3-Perméabilité            </t>
  </si>
  <si>
    <t xml:space="preserve"> B-2-4-Topographie    </t>
  </si>
  <si>
    <t>Sté AGRITADDART sarl</t>
  </si>
  <si>
    <t>X = 716792</t>
  </si>
  <si>
    <t>Y = 413950</t>
  </si>
  <si>
    <t>S1</t>
  </si>
  <si>
    <t>S2</t>
  </si>
  <si>
    <t>Forage</t>
  </si>
  <si>
    <t>X :</t>
  </si>
  <si>
    <t>Y :</t>
  </si>
  <si>
    <t>Caroube</t>
  </si>
  <si>
    <t>Mr. Ahmed Bouirdne</t>
  </si>
  <si>
    <t>JD54766</t>
  </si>
  <si>
    <t>Sidi Ifni</t>
  </si>
  <si>
    <t>Ifni</t>
  </si>
  <si>
    <t xml:space="preserve">Sidi H’Sain Ou Ali </t>
  </si>
  <si>
    <t>Toufgnit</t>
  </si>
  <si>
    <t>Personne physique</t>
  </si>
  <si>
    <t>PC JUNIOR 15L</t>
  </si>
  <si>
    <t>P4</t>
  </si>
  <si>
    <r>
      <t xml:space="preserve">NB : </t>
    </r>
    <r>
      <rPr>
        <b/>
        <sz val="12"/>
        <color theme="1"/>
        <rFont val="Symbol"/>
        <family val="1"/>
        <charset val="2"/>
      </rPr>
      <t>D</t>
    </r>
    <r>
      <rPr>
        <b/>
        <sz val="12"/>
        <color theme="1"/>
        <rFont val="Times New Roman"/>
        <family val="1"/>
      </rPr>
      <t>P = 30</t>
    </r>
    <r>
      <rPr>
        <b/>
        <sz val="12"/>
        <color rgb="FFFF0000"/>
        <rFont val="Times New Roman"/>
        <family val="1"/>
      </rPr>
      <t xml:space="preserve"> mCe</t>
    </r>
  </si>
  <si>
    <t>olivier et caroube</t>
  </si>
  <si>
    <t>TE - V1.V2</t>
  </si>
  <si>
    <t>ST - TE</t>
  </si>
  <si>
    <t>TE - V3.V4</t>
  </si>
  <si>
    <t>IBRATEC 6SP17-12 10CV</t>
  </si>
  <si>
    <t>Olivier + Caroube</t>
  </si>
  <si>
    <t>FORAS MN EN 733 32-160/A 4 CV</t>
  </si>
  <si>
    <r>
      <t xml:space="preserve">Je soussigné : </t>
    </r>
    <r>
      <rPr>
        <b/>
        <sz val="14"/>
        <color theme="1"/>
        <rFont val="Times New Roman"/>
        <family val="1"/>
      </rPr>
      <t xml:space="preserve">Mr. </t>
    </r>
    <r>
      <rPr>
        <sz val="14"/>
        <color theme="1"/>
        <rFont val="Times New Roman"/>
        <family val="1"/>
      </rPr>
      <t xml:space="preserve"> . . . . . . . . . . . . . . . . . . . . . . . . . . . . . . . . . . . . . . . . . . . . . . . . .
Agissant au nom de pour le compte de Sté</t>
    </r>
    <r>
      <rPr>
        <b/>
        <sz val="14"/>
        <color theme="1"/>
        <rFont val="Times New Roman"/>
        <family val="1"/>
      </rPr>
      <t xml:space="preserve">  </t>
    </r>
    <r>
      <rPr>
        <sz val="14"/>
        <color theme="1"/>
        <rFont val="Times New Roman"/>
        <family val="1"/>
      </rPr>
      <t xml:space="preserve">. . . . . . . . . . . . . . . . . . . . . . . . . . . . . . .
(Raison sociale et forme juridique de la société)
Adresse du </t>
    </r>
    <r>
      <rPr>
        <b/>
        <sz val="14"/>
        <color theme="1"/>
        <rFont val="Times New Roman"/>
        <family val="1"/>
      </rPr>
      <t xml:space="preserve"> </t>
    </r>
    <r>
      <rPr>
        <sz val="14"/>
        <color theme="1"/>
        <rFont val="Times New Roman"/>
        <family val="1"/>
      </rPr>
      <t xml:space="preserve">. . . . . . . . . . . . . . . . . . . . . . . . . . . . . . . . . . . . . . . . . . . . . . . . . . . . . . . 
Charge objet de la norme Marocaine n° 12.1.100 (installation d’irrigation localisée Exigences générales), et m’engage à les respecter dans le cadre de l’équipement en irrigation localise de l’exploitation ci-dessous présentée :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</si>
</sst>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6">
    <numFmt numFmtId="164" formatCode="_-* #,##0.00\ _€_-;\-* #,##0.00\ _€_-;_-* &quot;-&quot;??\ _€_-;_-@_-"/>
    <numFmt numFmtId="165" formatCode="#,##0.0000\ &quot;ha&quot;"/>
    <numFmt numFmtId="166" formatCode="0.0000"/>
    <numFmt numFmtId="167" formatCode="0.0"/>
    <numFmt numFmtId="168" formatCode="0.00;[Red]0.00"/>
    <numFmt numFmtId="169" formatCode="#,##0\ &quot;mm&quot;"/>
    <numFmt numFmtId="170" formatCode="0.0;[Red]0.0"/>
    <numFmt numFmtId="171" formatCode="0;[Red]0"/>
    <numFmt numFmtId="172" formatCode="#,##0\ &quot;/&quot;"/>
    <numFmt numFmtId="173" formatCode="#,##0.00\ &quot;mce&quot;"/>
    <numFmt numFmtId="174" formatCode="#,##0.00\ &quot;KW&quot;"/>
    <numFmt numFmtId="175" formatCode="#,##0.00\ &quot;CV&quot;"/>
    <numFmt numFmtId="176" formatCode="#,##0\ &quot;m x &quot;"/>
    <numFmt numFmtId="177" formatCode="#,##0\ &quot;m&quot;"/>
    <numFmt numFmtId="178" formatCode="#,##0.00\ &quot;m&quot;"/>
    <numFmt numFmtId="179" formatCode="#,##0\ &quot;m3&quot;"/>
    <numFmt numFmtId="180" formatCode="#,##0\ &quot;m2&quot;"/>
    <numFmt numFmtId="181" formatCode="#,##0\ &quot;Mts&quot;"/>
    <numFmt numFmtId="182" formatCode="#,##0.0\ &quot;Mts&quot;"/>
    <numFmt numFmtId="183" formatCode="#,##0.00\ &quot;Mts&quot;"/>
    <numFmt numFmtId="184" formatCode="&quot; 1: &quot;#,##0.0"/>
    <numFmt numFmtId="185" formatCode="#,##0.0\ &quot;m2&quot;"/>
    <numFmt numFmtId="186" formatCode="#,##0.00\ &quot;m2&quot;"/>
    <numFmt numFmtId="187" formatCode="#,##0.0"/>
    <numFmt numFmtId="188" formatCode="0.000"/>
    <numFmt numFmtId="189" formatCode="#,##0.00\ &quot;m3/h&quot;"/>
    <numFmt numFmtId="190" formatCode="###,##0\ &quot;m2&quot;"/>
    <numFmt numFmtId="191" formatCode="0#&quot; ha &quot;00&quot; a &quot;00&quot; ca &quot;"/>
    <numFmt numFmtId="192" formatCode="#,##0\ &quot;  /&quot;"/>
    <numFmt numFmtId="193" formatCode="[$-409]d\-mmm\-yyyy;@"/>
    <numFmt numFmtId="194" formatCode="[$-40C]d\-mmm\-yyyy;@"/>
    <numFmt numFmtId="195" formatCode="#,##0.00\ &quot;m3&quot;"/>
    <numFmt numFmtId="196" formatCode="#,##0.00\ &quot;h&quot;"/>
    <numFmt numFmtId="197" formatCode="#,##0.0000"/>
    <numFmt numFmtId="198" formatCode="#,##0.00\ &quot;L/s&quot;"/>
    <numFmt numFmtId="199" formatCode="#,##0.0\ &quot;m&quot;"/>
  </numFmts>
  <fonts count="107" x14ac:knownFonts="1">
    <font>
      <sz val="11"/>
      <color theme="1"/>
      <name val="Calibri"/>
      <family val="2"/>
      <scheme val="minor"/>
    </font>
    <font>
      <sz val="11"/>
      <color theme="1"/>
      <name val="Calibri"/>
      <family val="2"/>
      <scheme val="minor"/>
    </font>
    <font>
      <sz val="12"/>
      <name val="Times New Roman"/>
      <family val="1"/>
    </font>
    <font>
      <b/>
      <sz val="20"/>
      <color rgb="FF6666FF"/>
      <name val="Times New Roman"/>
      <family val="1"/>
    </font>
    <font>
      <b/>
      <sz val="16"/>
      <color rgb="FF00B050"/>
      <name val="Times New Roman"/>
      <family val="1"/>
    </font>
    <font>
      <b/>
      <sz val="20"/>
      <color rgb="FFFABF8F"/>
      <name val="Times New Roman"/>
      <family val="1"/>
    </font>
    <font>
      <b/>
      <i/>
      <sz val="12"/>
      <name val="Times New Roman"/>
      <family val="1"/>
    </font>
    <font>
      <b/>
      <u/>
      <sz val="16"/>
      <name val="Times New Roman"/>
      <family val="1"/>
    </font>
    <font>
      <b/>
      <sz val="16"/>
      <name val="Times New Roman"/>
      <family val="1"/>
    </font>
    <font>
      <b/>
      <sz val="12"/>
      <name val="Times New Roman"/>
      <family val="1"/>
    </font>
    <font>
      <sz val="14"/>
      <name val="Times New Roman"/>
      <family val="1"/>
    </font>
    <font>
      <sz val="14"/>
      <color theme="1"/>
      <name val="Times New Roman"/>
      <family val="1"/>
    </font>
    <font>
      <sz val="12"/>
      <color indexed="8"/>
      <name val="Times New Roman"/>
      <family val="1"/>
    </font>
    <font>
      <b/>
      <sz val="12"/>
      <color rgb="FFFF0000"/>
      <name val="Times New Roman"/>
      <family val="1"/>
    </font>
    <font>
      <b/>
      <sz val="12"/>
      <color indexed="8"/>
      <name val="Times New Roman"/>
      <family val="1"/>
    </font>
    <font>
      <b/>
      <sz val="14"/>
      <color theme="1"/>
      <name val="Times New Roman"/>
      <family val="1"/>
    </font>
    <font>
      <sz val="11"/>
      <color theme="1"/>
      <name val="Times New Roman"/>
      <family val="1"/>
    </font>
    <font>
      <b/>
      <sz val="14"/>
      <name val="Times New Roman"/>
      <family val="1"/>
    </font>
    <font>
      <b/>
      <sz val="16"/>
      <color theme="1"/>
      <name val="Times New Roman"/>
      <family val="1"/>
    </font>
    <font>
      <b/>
      <u/>
      <sz val="12"/>
      <name val="Times New Roman"/>
      <family val="1"/>
    </font>
    <font>
      <b/>
      <sz val="12"/>
      <color rgb="FF244061"/>
      <name val="Times New Roman"/>
      <family val="1"/>
    </font>
    <font>
      <b/>
      <sz val="12"/>
      <color rgb="FF000000"/>
      <name val="Times New Roman"/>
      <family val="1"/>
    </font>
    <font>
      <sz val="14"/>
      <color rgb="FF000000"/>
      <name val="Times New Roman"/>
      <family val="1"/>
    </font>
    <font>
      <b/>
      <sz val="12"/>
      <color rgb="FF4F6228"/>
      <name val="Times New Roman"/>
      <family val="1"/>
    </font>
    <font>
      <b/>
      <sz val="12"/>
      <color theme="1"/>
      <name val="Times New Roman"/>
      <family val="1"/>
    </font>
    <font>
      <sz val="11"/>
      <name val="Times New Roman"/>
      <family val="1"/>
    </font>
    <font>
      <sz val="12"/>
      <color theme="1"/>
      <name val="Times New Roman"/>
      <family val="1"/>
    </font>
    <font>
      <b/>
      <sz val="10"/>
      <name val="Times New Roman"/>
      <family val="1"/>
    </font>
    <font>
      <sz val="10"/>
      <color rgb="FF000000"/>
      <name val="Symbol"/>
      <family val="1"/>
      <charset val="2"/>
    </font>
    <font>
      <sz val="8"/>
      <name val="Times New Roman"/>
      <family val="1"/>
    </font>
    <font>
      <sz val="13"/>
      <color rgb="FF000000"/>
      <name val="Times New Roman"/>
      <family val="1"/>
    </font>
    <font>
      <b/>
      <sz val="11"/>
      <color rgb="FF000000"/>
      <name val="Times New Roman"/>
      <family val="1"/>
    </font>
    <font>
      <sz val="12"/>
      <color rgb="FF000000"/>
      <name val="Times New Roman"/>
      <family val="1"/>
    </font>
    <font>
      <vertAlign val="subscript"/>
      <sz val="12"/>
      <color rgb="FF000000"/>
      <name val="Times New Roman"/>
      <family val="1"/>
    </font>
    <font>
      <b/>
      <sz val="11"/>
      <name val="Times New Roman"/>
      <family val="1"/>
    </font>
    <font>
      <sz val="10"/>
      <name val="Times New Roman"/>
      <family val="1"/>
    </font>
    <font>
      <b/>
      <sz val="11"/>
      <color theme="1"/>
      <name val="Times New Roman"/>
      <family val="1"/>
    </font>
    <font>
      <sz val="13"/>
      <color theme="1"/>
      <name val="Times New Roman"/>
      <family val="1"/>
    </font>
    <font>
      <b/>
      <sz val="12"/>
      <name val="Calibri"/>
      <family val="2"/>
    </font>
    <font>
      <b/>
      <vertAlign val="superscript"/>
      <sz val="12"/>
      <name val="Times New Roman"/>
      <family val="1"/>
    </font>
    <font>
      <b/>
      <vertAlign val="subscript"/>
      <sz val="12"/>
      <name val="Times New Roman"/>
      <family val="1"/>
    </font>
    <font>
      <sz val="11"/>
      <color rgb="FF000000"/>
      <name val="Times New Roman"/>
      <family val="1"/>
    </font>
    <font>
      <vertAlign val="subscript"/>
      <sz val="11"/>
      <color rgb="FF000000"/>
      <name val="Times New Roman"/>
      <family val="1"/>
    </font>
    <font>
      <b/>
      <sz val="9"/>
      <name val="Times New Roman"/>
      <family val="1"/>
    </font>
    <font>
      <sz val="9"/>
      <name val="Times New Roman"/>
      <family val="1"/>
    </font>
    <font>
      <vertAlign val="superscript"/>
      <sz val="12"/>
      <color rgb="FF000000"/>
      <name val="Times New Roman"/>
      <family val="1"/>
    </font>
    <font>
      <sz val="11"/>
      <color theme="1"/>
      <name val="Arial"/>
      <family val="2"/>
    </font>
    <font>
      <b/>
      <vertAlign val="subscript"/>
      <sz val="12"/>
      <color rgb="FF000000"/>
      <name val="Times New Roman"/>
      <family val="1"/>
    </font>
    <font>
      <sz val="11"/>
      <name val="Arial"/>
      <family val="2"/>
    </font>
    <font>
      <sz val="12"/>
      <color indexed="8"/>
      <name val="Cambria"/>
      <family val="1"/>
    </font>
    <font>
      <sz val="12"/>
      <color rgb="FF000000"/>
      <name val="Cambria"/>
      <family val="1"/>
    </font>
    <font>
      <b/>
      <sz val="11"/>
      <name val="Arial"/>
      <family val="2"/>
    </font>
    <font>
      <u/>
      <sz val="12"/>
      <color indexed="8"/>
      <name val="Times New Roman"/>
      <family val="1"/>
    </font>
    <font>
      <sz val="12"/>
      <color theme="1"/>
      <name val="Calibri"/>
      <family val="2"/>
      <scheme val="minor"/>
    </font>
    <font>
      <b/>
      <sz val="12"/>
      <color rgb="FF17365D"/>
      <name val="Times New Roman"/>
      <family val="1"/>
    </font>
    <font>
      <b/>
      <i/>
      <sz val="11"/>
      <color theme="1"/>
      <name val="Times New Roman"/>
      <family val="1"/>
    </font>
    <font>
      <b/>
      <u/>
      <sz val="12"/>
      <color theme="4"/>
      <name val="Times New Roman"/>
      <family val="1"/>
    </font>
    <font>
      <sz val="12"/>
      <color rgb="FF000000"/>
      <name val="Symbol"/>
      <family val="1"/>
      <charset val="2"/>
    </font>
    <font>
      <sz val="8"/>
      <name val="Calibri"/>
      <family val="2"/>
      <scheme val="minor"/>
    </font>
    <font>
      <b/>
      <sz val="12"/>
      <color theme="1"/>
      <name val="Symbol"/>
      <family val="1"/>
      <charset val="2"/>
    </font>
    <font>
      <i/>
      <sz val="10"/>
      <name val="Times New Roman"/>
      <family val="1"/>
    </font>
    <font>
      <sz val="36"/>
      <color theme="4" tint="-0.249977111117893"/>
      <name val="Poor Richard"/>
      <family val="1"/>
    </font>
    <font>
      <b/>
      <sz val="13"/>
      <color indexed="8"/>
      <name val="Times New Roman"/>
      <family val="1"/>
    </font>
    <font>
      <b/>
      <sz val="12"/>
      <color rgb="FFC00000"/>
      <name val="Times New Roman"/>
      <family val="1"/>
    </font>
    <font>
      <b/>
      <sz val="20"/>
      <color theme="1"/>
      <name val="Times New Roman"/>
      <family val="1"/>
    </font>
    <font>
      <b/>
      <sz val="15"/>
      <color theme="1"/>
      <name val="Times New Roman"/>
      <family val="1"/>
    </font>
    <font>
      <sz val="15"/>
      <color theme="1"/>
      <name val="Times New Roman"/>
      <family val="1"/>
    </font>
    <font>
      <sz val="10"/>
      <color theme="1"/>
      <name val="Times New Roman"/>
      <family val="1"/>
    </font>
    <font>
      <vertAlign val="superscript"/>
      <sz val="12"/>
      <color theme="1"/>
      <name val="Times New Roman"/>
      <family val="1"/>
    </font>
    <font>
      <sz val="11"/>
      <color theme="1"/>
      <name val="Trebuchet MS"/>
      <family val="2"/>
    </font>
    <font>
      <b/>
      <u/>
      <sz val="10"/>
      <name val="Times New Roman"/>
      <family val="1"/>
    </font>
    <font>
      <sz val="10"/>
      <name val="Arial"/>
      <family val="2"/>
    </font>
    <font>
      <i/>
      <sz val="18"/>
      <color theme="4" tint="-0.249977111117893"/>
      <name val="Times New Roman"/>
      <family val="1"/>
    </font>
    <font>
      <b/>
      <sz val="16"/>
      <color theme="1"/>
      <name val="Calibri"/>
      <family val="2"/>
      <scheme val="minor"/>
    </font>
    <font>
      <sz val="11"/>
      <name val="Calibri"/>
      <family val="2"/>
      <scheme val="minor"/>
    </font>
    <font>
      <sz val="16"/>
      <name val="Times New Roman"/>
      <family val="1"/>
    </font>
    <font>
      <i/>
      <sz val="12"/>
      <name val="Times New Roman"/>
      <family val="1"/>
    </font>
    <font>
      <u/>
      <sz val="16"/>
      <name val="Times New Roman"/>
      <family val="1"/>
    </font>
    <font>
      <vertAlign val="subscript"/>
      <sz val="12"/>
      <name val="Times New Roman"/>
      <family val="1"/>
    </font>
    <font>
      <sz val="12"/>
      <color theme="0"/>
      <name val="Times New Roman"/>
      <family val="1"/>
    </font>
    <font>
      <sz val="48"/>
      <color rgb="FF002060"/>
      <name val="Times New Roman"/>
      <family val="1"/>
    </font>
    <font>
      <sz val="36"/>
      <color rgb="FF002060"/>
      <name val="Times New Roman"/>
      <family val="1"/>
    </font>
    <font>
      <sz val="12"/>
      <color indexed="23"/>
      <name val="Times New Roman"/>
      <family val="1"/>
    </font>
    <font>
      <b/>
      <sz val="16"/>
      <color theme="4"/>
      <name val="Times New Roman"/>
      <family val="1"/>
    </font>
    <font>
      <sz val="16"/>
      <color theme="1"/>
      <name val="Times New Roman"/>
      <family val="1"/>
    </font>
    <font>
      <sz val="11"/>
      <color theme="1"/>
      <name val="Calibri"/>
      <family val="2"/>
    </font>
    <font>
      <sz val="14"/>
      <color theme="1"/>
      <name val="Times New Roman"/>
      <family val="2"/>
    </font>
    <font>
      <sz val="14"/>
      <color indexed="8"/>
      <name val="Times New Roman"/>
      <family val="1"/>
    </font>
    <font>
      <b/>
      <sz val="14"/>
      <color indexed="8"/>
      <name val="Times New Roman"/>
      <family val="1"/>
    </font>
    <font>
      <b/>
      <sz val="10"/>
      <color rgb="FF000000"/>
      <name val="Times New Roman"/>
      <family val="1"/>
    </font>
    <font>
      <sz val="22"/>
      <color theme="1"/>
      <name val="Bahnschrift Condensed"/>
      <family val="2"/>
    </font>
    <font>
      <vertAlign val="subscript"/>
      <sz val="11"/>
      <name val="Times New Roman"/>
      <family val="1"/>
    </font>
    <font>
      <vertAlign val="superscript"/>
      <sz val="14"/>
      <color theme="1"/>
      <name val="Times New Roman"/>
      <family val="1"/>
    </font>
    <font>
      <b/>
      <u/>
      <sz val="10"/>
      <color theme="1"/>
      <name val="Times New Roman"/>
      <family val="1"/>
    </font>
    <font>
      <vertAlign val="superscript"/>
      <sz val="10"/>
      <name val="Times New Roman"/>
      <family val="1"/>
    </font>
    <font>
      <b/>
      <sz val="10"/>
      <color theme="1"/>
      <name val="Times New Roman"/>
      <family val="1"/>
    </font>
    <font>
      <b/>
      <vertAlign val="superscript"/>
      <sz val="10"/>
      <name val="Times New Roman"/>
      <family val="1"/>
    </font>
    <font>
      <b/>
      <i/>
      <sz val="10"/>
      <name val="Times New Roman"/>
      <family val="1"/>
    </font>
    <font>
      <b/>
      <sz val="10"/>
      <color rgb="FF0070C0"/>
      <name val="Times New Roman"/>
      <family val="1"/>
    </font>
    <font>
      <sz val="12"/>
      <color rgb="FF002060"/>
      <name val="Times New Roman"/>
      <family val="1"/>
    </font>
    <font>
      <b/>
      <sz val="11"/>
      <color indexed="9"/>
      <name val="Times New Roman"/>
      <family val="1"/>
    </font>
    <font>
      <b/>
      <sz val="11"/>
      <color rgb="FFC00000"/>
      <name val="Times New Roman"/>
      <family val="1"/>
    </font>
    <font>
      <sz val="10"/>
      <name val="Arial"/>
      <family val="2"/>
    </font>
    <font>
      <sz val="10"/>
      <color theme="0"/>
      <name val="Times New Roman"/>
      <family val="1"/>
    </font>
    <font>
      <b/>
      <sz val="12"/>
      <color rgb="FF002060"/>
      <name val="Calibri"/>
      <family val="2"/>
      <scheme val="minor"/>
    </font>
    <font>
      <b/>
      <sz val="11"/>
      <color indexed="8"/>
      <name val="Times New Roman"/>
      <family val="1"/>
    </font>
    <font>
      <sz val="11"/>
      <color indexed="8"/>
      <name val="Times New Roman"/>
      <family val="1"/>
    </font>
  </fonts>
  <fills count="32">
    <fill>
      <patternFill patternType="none"/>
    </fill>
    <fill>
      <patternFill patternType="gray125"/>
    </fill>
    <fill>
      <patternFill patternType="solid">
        <fgColor rgb="FFFFFF00"/>
        <bgColor indexed="64"/>
      </patternFill>
    </fill>
    <fill>
      <patternFill patternType="solid">
        <fgColor rgb="FF0DE3DE"/>
        <bgColor indexed="64"/>
      </patternFill>
    </fill>
    <fill>
      <patternFill patternType="solid">
        <fgColor theme="8"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indexed="42"/>
        <bgColor indexed="64"/>
      </patternFill>
    </fill>
    <fill>
      <patternFill patternType="solid">
        <fgColor theme="3" tint="0.59999389629810485"/>
        <bgColor indexed="64"/>
      </patternFill>
    </fill>
    <fill>
      <patternFill patternType="solid">
        <fgColor indexed="41"/>
        <bgColor indexed="64"/>
      </patternFill>
    </fill>
    <fill>
      <patternFill patternType="solid">
        <fgColor theme="4" tint="0.79998168889431442"/>
        <bgColor indexed="64"/>
      </patternFill>
    </fill>
    <fill>
      <patternFill patternType="solid">
        <fgColor rgb="FFFFC000"/>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BDD6EE"/>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92D050"/>
        <bgColor indexed="64"/>
      </patternFill>
    </fill>
    <fill>
      <patternFill patternType="solid">
        <fgColor theme="9" tint="0.39997558519241921"/>
        <bgColor indexed="64"/>
      </patternFill>
    </fill>
    <fill>
      <patternFill patternType="solid">
        <fgColor rgb="FF66FFFF"/>
        <bgColor indexed="64"/>
      </patternFill>
    </fill>
    <fill>
      <patternFill patternType="solid">
        <fgColor rgb="FFFFFFFF"/>
        <bgColor indexed="64"/>
      </patternFill>
    </fill>
    <fill>
      <patternFill patternType="solid">
        <fgColor theme="0" tint="-4.9989318521683403E-2"/>
        <bgColor indexed="64"/>
      </patternFill>
    </fill>
    <fill>
      <patternFill patternType="solid">
        <fgColor indexed="11"/>
        <bgColor indexed="64"/>
      </patternFill>
    </fill>
    <fill>
      <patternFill patternType="solid">
        <fgColor rgb="FF66FF33"/>
        <bgColor indexed="64"/>
      </patternFill>
    </fill>
    <fill>
      <patternFill patternType="solid">
        <fgColor theme="3" tint="0.79998168889431442"/>
        <bgColor indexed="64"/>
      </patternFill>
    </fill>
    <fill>
      <patternFill patternType="solid">
        <fgColor rgb="FF66FF66"/>
        <bgColor indexed="64"/>
      </patternFill>
    </fill>
    <fill>
      <patternFill patternType="solid">
        <fgColor theme="6" tint="0.79998168889431442"/>
        <bgColor indexed="64"/>
      </patternFill>
    </fill>
  </fills>
  <borders count="98">
    <border>
      <left/>
      <right/>
      <top/>
      <bottom/>
      <diagonal/>
    </border>
    <border>
      <left style="thin">
        <color auto="1"/>
      </left>
      <right/>
      <top style="thin">
        <color auto="1"/>
      </top>
      <bottom/>
      <diagonal/>
    </border>
    <border>
      <left/>
      <right/>
      <top style="thin">
        <color auto="1"/>
      </top>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double">
        <color indexed="64"/>
      </left>
      <right style="double">
        <color indexed="64"/>
      </right>
      <top style="double">
        <color indexed="64"/>
      </top>
      <bottom/>
      <diagonal/>
    </border>
    <border>
      <left/>
      <right/>
      <top style="double">
        <color indexed="64"/>
      </top>
      <bottom style="double">
        <color indexed="64"/>
      </bottom>
      <diagonal/>
    </border>
    <border>
      <left style="double">
        <color indexed="64"/>
      </left>
      <right/>
      <top style="double">
        <color indexed="64"/>
      </top>
      <bottom/>
      <diagonal/>
    </border>
    <border>
      <left/>
      <right style="double">
        <color indexed="64"/>
      </right>
      <top style="double">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ouble">
        <color indexed="64"/>
      </left>
      <right style="double">
        <color indexed="64"/>
      </right>
      <top/>
      <bottom style="double">
        <color indexed="64"/>
      </bottom>
      <diagonal/>
    </border>
    <border>
      <left/>
      <right/>
      <top style="double">
        <color indexed="64"/>
      </top>
      <bottom/>
      <diagonal/>
    </border>
    <border>
      <left/>
      <right/>
      <top/>
      <bottom style="double">
        <color indexed="64"/>
      </bottom>
      <diagonal/>
    </border>
    <border>
      <left style="double">
        <color indexed="64"/>
      </left>
      <right style="double">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double">
        <color theme="4"/>
      </right>
      <top/>
      <bottom/>
      <diagonal/>
    </border>
    <border>
      <left/>
      <right/>
      <top/>
      <bottom style="double">
        <color theme="4"/>
      </bottom>
      <diagonal/>
    </border>
    <border>
      <left style="double">
        <color theme="4" tint="-0.249977111117893"/>
      </left>
      <right/>
      <top style="double">
        <color theme="4" tint="-0.249977111117893"/>
      </top>
      <bottom/>
      <diagonal/>
    </border>
    <border>
      <left/>
      <right/>
      <top style="double">
        <color theme="4" tint="-0.249977111117893"/>
      </top>
      <bottom/>
      <diagonal/>
    </border>
    <border>
      <left/>
      <right style="double">
        <color theme="4" tint="-0.249977111117893"/>
      </right>
      <top style="double">
        <color theme="4" tint="-0.249977111117893"/>
      </top>
      <bottom/>
      <diagonal/>
    </border>
    <border>
      <left style="double">
        <color theme="4" tint="-0.249977111117893"/>
      </left>
      <right/>
      <top/>
      <bottom/>
      <diagonal/>
    </border>
    <border>
      <left/>
      <right style="double">
        <color theme="4" tint="-0.249977111117893"/>
      </right>
      <top/>
      <bottom/>
      <diagonal/>
    </border>
    <border>
      <left style="double">
        <color theme="4" tint="-0.249977111117893"/>
      </left>
      <right/>
      <top/>
      <bottom style="double">
        <color theme="4" tint="-0.249977111117893"/>
      </bottom>
      <diagonal/>
    </border>
    <border>
      <left/>
      <right/>
      <top/>
      <bottom style="double">
        <color theme="4" tint="-0.249977111117893"/>
      </bottom>
      <diagonal/>
    </border>
    <border>
      <left/>
      <right style="double">
        <color theme="4" tint="-0.249977111117893"/>
      </right>
      <top/>
      <bottom style="double">
        <color theme="4" tint="-0.249977111117893"/>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style="medium">
        <color indexed="64"/>
      </right>
      <top/>
      <bottom/>
      <diagonal/>
    </border>
    <border>
      <left style="double">
        <color theme="4"/>
      </left>
      <right/>
      <top style="double">
        <color theme="4"/>
      </top>
      <bottom/>
      <diagonal/>
    </border>
    <border>
      <left/>
      <right/>
      <top style="double">
        <color theme="4"/>
      </top>
      <bottom/>
      <diagonal/>
    </border>
    <border>
      <left style="double">
        <color theme="4"/>
      </left>
      <right/>
      <top/>
      <bottom/>
      <diagonal/>
    </border>
    <border>
      <left style="double">
        <color theme="4"/>
      </left>
      <right/>
      <top/>
      <bottom style="double">
        <color theme="4"/>
      </bottom>
      <diagonal/>
    </border>
    <border>
      <left/>
      <right style="double">
        <color theme="4"/>
      </right>
      <top style="double">
        <color theme="4"/>
      </top>
      <bottom/>
      <diagonal/>
    </border>
    <border>
      <left/>
      <right style="double">
        <color theme="4"/>
      </right>
      <top/>
      <bottom style="double">
        <color theme="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auto="1"/>
      </right>
      <top style="medium">
        <color indexed="64"/>
      </top>
      <bottom style="thin">
        <color auto="1"/>
      </bottom>
      <diagonal/>
    </border>
    <border>
      <left/>
      <right style="medium">
        <color indexed="64"/>
      </right>
      <top style="medium">
        <color indexed="64"/>
      </top>
      <bottom/>
      <diagonal/>
    </border>
    <border>
      <left/>
      <right/>
      <top style="medium">
        <color indexed="64"/>
      </top>
      <bottom/>
      <diagonal/>
    </border>
    <border>
      <left style="medium">
        <color indexed="64"/>
      </left>
      <right/>
      <top/>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double">
        <color theme="4" tint="-0.499984740745262"/>
      </left>
      <right/>
      <top/>
      <bottom/>
      <diagonal/>
    </border>
    <border>
      <left/>
      <right style="double">
        <color theme="4" tint="-0.499984740745262"/>
      </right>
      <top/>
      <bottom/>
      <diagonal/>
    </border>
    <border>
      <left style="double">
        <color theme="4" tint="-0.499984740745262"/>
      </left>
      <right/>
      <top/>
      <bottom style="double">
        <color theme="4" tint="-0.499984740745262"/>
      </bottom>
      <diagonal/>
    </border>
    <border>
      <left/>
      <right/>
      <top/>
      <bottom style="double">
        <color theme="4" tint="-0.499984740745262"/>
      </bottom>
      <diagonal/>
    </border>
    <border>
      <left/>
      <right style="double">
        <color theme="4" tint="-0.499984740745262"/>
      </right>
      <top/>
      <bottom style="double">
        <color theme="4" tint="-0.499984740745262"/>
      </bottom>
      <diagonal/>
    </border>
    <border>
      <left/>
      <right/>
      <top style="double">
        <color theme="4" tint="-0.499984740745262"/>
      </top>
      <bottom/>
      <diagonal/>
    </border>
    <border>
      <left style="double">
        <color theme="4" tint="-0.499984740745262"/>
      </left>
      <right/>
      <top style="double">
        <color theme="4" tint="-0.499984740745262"/>
      </top>
      <bottom/>
      <diagonal/>
    </border>
    <border>
      <left/>
      <right style="double">
        <color theme="4" tint="-0.499984740745262"/>
      </right>
      <top style="double">
        <color theme="4" tint="-0.499984740745262"/>
      </top>
      <bottom/>
      <diagonal/>
    </border>
    <border>
      <left/>
      <right style="thin">
        <color indexed="64"/>
      </right>
      <top/>
      <bottom/>
      <diagonal/>
    </border>
    <border>
      <left style="double">
        <color indexed="64"/>
      </left>
      <right/>
      <top/>
      <bottom/>
      <diagonal/>
    </border>
    <border>
      <left/>
      <right style="medium">
        <color indexed="64"/>
      </right>
      <top style="medium">
        <color indexed="64"/>
      </top>
      <bottom style="thin">
        <color auto="1"/>
      </bottom>
      <diagonal/>
    </border>
    <border>
      <left/>
      <right style="medium">
        <color indexed="64"/>
      </right>
      <top style="thin">
        <color indexed="64"/>
      </top>
      <bottom style="medium">
        <color indexed="64"/>
      </bottom>
      <diagonal/>
    </border>
    <border>
      <left/>
      <right style="double">
        <color indexed="64"/>
      </right>
      <top style="medium">
        <color indexed="64"/>
      </top>
      <bottom style="double">
        <color indexed="64"/>
      </bottom>
      <diagonal/>
    </border>
    <border>
      <left style="double">
        <color indexed="64"/>
      </left>
      <right style="double">
        <color indexed="64"/>
      </right>
      <top style="medium">
        <color indexed="64"/>
      </top>
      <bottom style="double">
        <color indexed="64"/>
      </bottom>
      <diagonal/>
    </border>
    <border>
      <left style="double">
        <color indexed="64"/>
      </left>
      <right style="medium">
        <color indexed="64"/>
      </right>
      <top style="medium">
        <color indexed="64"/>
      </top>
      <bottom style="double">
        <color indexed="64"/>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medium">
        <color indexed="64"/>
      </bottom>
      <diagonal/>
    </border>
    <border>
      <left style="double">
        <color indexed="64"/>
      </left>
      <right style="double">
        <color indexed="64"/>
      </right>
      <top style="double">
        <color indexed="64"/>
      </top>
      <bottom style="medium">
        <color indexed="64"/>
      </bottom>
      <diagonal/>
    </border>
    <border>
      <left style="double">
        <color indexed="64"/>
      </left>
      <right style="medium">
        <color indexed="64"/>
      </right>
      <top style="double">
        <color indexed="64"/>
      </top>
      <bottom style="medium">
        <color indexed="64"/>
      </bottom>
      <diagonal/>
    </border>
    <border>
      <left style="medium">
        <color indexed="64"/>
      </left>
      <right style="double">
        <color indexed="64"/>
      </right>
      <top style="medium">
        <color indexed="64"/>
      </top>
      <bottom/>
      <diagonal/>
    </border>
    <border>
      <left style="medium">
        <color indexed="64"/>
      </left>
      <right style="double">
        <color indexed="64"/>
      </right>
      <top/>
      <bottom/>
      <diagonal/>
    </border>
    <border>
      <left style="medium">
        <color indexed="64"/>
      </left>
      <right style="double">
        <color indexed="64"/>
      </right>
      <top/>
      <bottom style="medium">
        <color indexed="64"/>
      </bottom>
      <diagonal/>
    </border>
    <border>
      <left style="thick">
        <color indexed="64"/>
      </left>
      <right style="double">
        <color indexed="64"/>
      </right>
      <top/>
      <bottom/>
      <diagonal/>
    </border>
    <border>
      <left style="double">
        <color indexed="64"/>
      </left>
      <right style="thick">
        <color indexed="64"/>
      </right>
      <top/>
      <bottom style="double">
        <color indexed="64"/>
      </bottom>
      <diagonal/>
    </border>
    <border>
      <left style="double">
        <color indexed="64"/>
      </left>
      <right style="thick">
        <color indexed="64"/>
      </right>
      <top style="double">
        <color indexed="64"/>
      </top>
      <bottom style="double">
        <color indexed="64"/>
      </bottom>
      <diagonal/>
    </border>
    <border>
      <left style="double">
        <color indexed="64"/>
      </left>
      <right style="thick">
        <color indexed="64"/>
      </right>
      <top style="double">
        <color indexed="64"/>
      </top>
      <bottom/>
      <diagonal/>
    </border>
    <border>
      <left style="double">
        <color indexed="64"/>
      </left>
      <right/>
      <top/>
      <bottom style="double">
        <color indexed="64"/>
      </bottom>
      <diagonal/>
    </border>
    <border>
      <left/>
      <right style="double">
        <color indexed="64"/>
      </right>
      <top/>
      <bottom style="double">
        <color indexed="64"/>
      </bottom>
      <diagonal/>
    </border>
    <border>
      <left style="thin">
        <color auto="1"/>
      </left>
      <right/>
      <top/>
      <bottom/>
      <diagonal/>
    </border>
  </borders>
  <cellStyleXfs count="6">
    <xf numFmtId="0" fontId="0" fillId="0" borderId="0"/>
    <xf numFmtId="9" fontId="1" fillId="0" borderId="0" applyFont="0" applyFill="0" applyBorder="0" applyAlignment="0" applyProtection="0"/>
    <xf numFmtId="164" fontId="1" fillId="0" borderId="0" applyFont="0" applyFill="0" applyBorder="0" applyAlignment="0" applyProtection="0"/>
    <xf numFmtId="0" fontId="71" fillId="0" borderId="0"/>
    <xf numFmtId="164" fontId="1" fillId="0" borderId="0" applyFont="0" applyFill="0" applyBorder="0" applyAlignment="0" applyProtection="0"/>
    <xf numFmtId="0" fontId="102" fillId="0" borderId="0"/>
  </cellStyleXfs>
  <cellXfs count="935">
    <xf numFmtId="0" fontId="0" fillId="0" borderId="0" xfId="0"/>
    <xf numFmtId="0" fontId="2" fillId="0" borderId="0" xfId="0" applyFont="1"/>
    <xf numFmtId="0" fontId="2" fillId="0" borderId="0" xfId="0" applyFont="1" applyAlignment="1">
      <alignment horizontal="center" vertical="center"/>
    </xf>
    <xf numFmtId="0" fontId="9" fillId="0" borderId="0" xfId="0" applyFont="1" applyAlignment="1">
      <alignment vertical="center"/>
    </xf>
    <xf numFmtId="0" fontId="2" fillId="0" borderId="0" xfId="0" applyFont="1" applyAlignment="1">
      <alignment horizontal="left" vertical="center"/>
    </xf>
    <xf numFmtId="0" fontId="2" fillId="0" borderId="0" xfId="0" applyFont="1" applyAlignment="1">
      <alignment vertical="center"/>
    </xf>
    <xf numFmtId="0" fontId="10" fillId="0" borderId="0" xfId="0" applyFont="1" applyAlignment="1">
      <alignment vertical="center"/>
    </xf>
    <xf numFmtId="0" fontId="12" fillId="0" borderId="0" xfId="0" applyFont="1"/>
    <xf numFmtId="0" fontId="13" fillId="0" borderId="0" xfId="0" applyFont="1" applyAlignment="1">
      <alignment vertical="center"/>
    </xf>
    <xf numFmtId="0" fontId="14" fillId="0" borderId="0" xfId="0" applyFont="1" applyAlignment="1">
      <alignment horizontal="left" indent="15"/>
    </xf>
    <xf numFmtId="0" fontId="11" fillId="0" borderId="0" xfId="0" applyFont="1" applyAlignment="1">
      <alignment vertical="center"/>
    </xf>
    <xf numFmtId="0" fontId="19" fillId="0" borderId="0" xfId="0" applyFont="1" applyAlignment="1">
      <alignment vertical="center"/>
    </xf>
    <xf numFmtId="0" fontId="20" fillId="0" borderId="0" xfId="0" applyFont="1" applyAlignment="1">
      <alignment vertical="center"/>
    </xf>
    <xf numFmtId="0" fontId="21" fillId="0" borderId="0" xfId="0" applyFont="1" applyAlignment="1">
      <alignment vertical="center"/>
    </xf>
    <xf numFmtId="0" fontId="22" fillId="0" borderId="0" xfId="0" applyFont="1" applyAlignment="1">
      <alignment vertical="center"/>
    </xf>
    <xf numFmtId="0" fontId="21" fillId="0" borderId="0" xfId="0" applyFont="1" applyAlignment="1">
      <alignment horizontal="left" vertical="center" wrapText="1"/>
    </xf>
    <xf numFmtId="0" fontId="9" fillId="0" borderId="0" xfId="0" applyFont="1" applyAlignment="1">
      <alignment horizontal="center" vertical="center"/>
    </xf>
    <xf numFmtId="0" fontId="23" fillId="0" borderId="0" xfId="0" applyFont="1" applyAlignment="1">
      <alignment horizontal="left" vertical="center" indent="2"/>
    </xf>
    <xf numFmtId="0" fontId="24" fillId="0" borderId="0" xfId="0" applyFont="1" applyAlignment="1">
      <alignment horizontal="left" vertical="center" indent="2"/>
    </xf>
    <xf numFmtId="0" fontId="25" fillId="0" borderId="0" xfId="0" applyFont="1" applyAlignment="1">
      <alignment vertical="center"/>
    </xf>
    <xf numFmtId="0" fontId="26" fillId="0" borderId="0" xfId="0" applyFont="1" applyAlignment="1">
      <alignment horizontal="left" vertical="center" indent="2"/>
    </xf>
    <xf numFmtId="0" fontId="27" fillId="0" borderId="0" xfId="0" applyFont="1" applyAlignment="1">
      <alignment vertical="center" wrapText="1"/>
    </xf>
    <xf numFmtId="0" fontId="9" fillId="0" borderId="0" xfId="0" applyFont="1" applyAlignment="1">
      <alignment horizontal="left" vertical="center"/>
    </xf>
    <xf numFmtId="0" fontId="28" fillId="0" borderId="0" xfId="0" applyFont="1" applyAlignment="1">
      <alignment horizontal="left" vertical="center" indent="5"/>
    </xf>
    <xf numFmtId="0" fontId="29" fillId="0" borderId="0" xfId="0" applyFont="1" applyAlignment="1">
      <alignment vertical="center"/>
    </xf>
    <xf numFmtId="0" fontId="24" fillId="0" borderId="0" xfId="0" applyFont="1" applyAlignment="1">
      <alignment horizontal="left" vertical="center" wrapText="1"/>
    </xf>
    <xf numFmtId="0" fontId="24" fillId="0" borderId="0" xfId="0" applyFont="1" applyAlignment="1">
      <alignment vertical="center" wrapText="1"/>
    </xf>
    <xf numFmtId="0" fontId="24" fillId="0" borderId="0" xfId="0" applyFont="1" applyAlignment="1">
      <alignment vertical="center"/>
    </xf>
    <xf numFmtId="0" fontId="24" fillId="0" borderId="0" xfId="0" applyFont="1" applyAlignment="1">
      <alignment horizontal="center" vertical="center"/>
    </xf>
    <xf numFmtId="0" fontId="24" fillId="0" borderId="0" xfId="0" applyFont="1" applyAlignment="1">
      <alignment horizontal="center" vertical="center" wrapText="1"/>
    </xf>
    <xf numFmtId="0" fontId="30" fillId="0" borderId="0" xfId="0" applyFont="1" applyAlignment="1">
      <alignment horizontal="center" vertical="center"/>
    </xf>
    <xf numFmtId="0" fontId="31" fillId="0" borderId="0" xfId="0" applyFont="1" applyAlignment="1">
      <alignment horizontal="center" vertical="center"/>
    </xf>
    <xf numFmtId="0" fontId="32" fillId="0" borderId="0" xfId="0" applyFont="1" applyAlignment="1">
      <alignment horizontal="left" vertical="center" indent="5"/>
    </xf>
    <xf numFmtId="2" fontId="2" fillId="0" borderId="0" xfId="0" applyNumberFormat="1" applyFont="1" applyAlignment="1">
      <alignment horizontal="center" vertical="center"/>
    </xf>
    <xf numFmtId="0" fontId="34" fillId="0" borderId="0" xfId="0" applyFont="1" applyAlignment="1">
      <alignment horizontal="center" vertical="center"/>
    </xf>
    <xf numFmtId="2" fontId="2" fillId="0" borderId="0" xfId="0" applyNumberFormat="1" applyFont="1" applyAlignment="1">
      <alignment vertical="center"/>
    </xf>
    <xf numFmtId="0" fontId="27" fillId="0" borderId="0" xfId="0" applyFont="1" applyAlignment="1">
      <alignment vertical="center"/>
    </xf>
    <xf numFmtId="0" fontId="35" fillId="0" borderId="0" xfId="0" applyFont="1" applyAlignment="1">
      <alignment vertical="center"/>
    </xf>
    <xf numFmtId="1" fontId="2" fillId="0" borderId="0" xfId="0" applyNumberFormat="1" applyFont="1" applyAlignment="1">
      <alignment horizontal="center" vertical="center"/>
    </xf>
    <xf numFmtId="2" fontId="9" fillId="0" borderId="0" xfId="0" applyNumberFormat="1" applyFont="1" applyAlignment="1">
      <alignment vertical="center"/>
    </xf>
    <xf numFmtId="1" fontId="24" fillId="0" borderId="0" xfId="0" applyNumberFormat="1" applyFont="1" applyAlignment="1">
      <alignment horizontal="left" vertical="center" indent="2"/>
    </xf>
    <xf numFmtId="0" fontId="25" fillId="0" borderId="0" xfId="0" applyFont="1" applyAlignment="1">
      <alignment horizontal="center" vertical="center"/>
    </xf>
    <xf numFmtId="0" fontId="9" fillId="0" borderId="0" xfId="0" applyFont="1" applyAlignment="1">
      <alignment horizontal="left" readingOrder="1"/>
    </xf>
    <xf numFmtId="0" fontId="26" fillId="0" borderId="0" xfId="0" applyFont="1" applyAlignment="1">
      <alignment horizontal="left" vertical="center" wrapText="1"/>
    </xf>
    <xf numFmtId="0" fontId="26" fillId="0" borderId="0" xfId="0" applyFont="1" applyAlignment="1">
      <alignment horizontal="left" vertical="center"/>
    </xf>
    <xf numFmtId="0" fontId="35" fillId="0" borderId="0" xfId="0" applyFont="1"/>
    <xf numFmtId="2" fontId="34" fillId="0" borderId="0" xfId="0" applyNumberFormat="1" applyFont="1" applyAlignment="1">
      <alignment horizontal="left" vertical="center"/>
    </xf>
    <xf numFmtId="0" fontId="25" fillId="0" borderId="21" xfId="0" applyFont="1" applyBorder="1" applyAlignment="1">
      <alignment horizontal="center" vertical="center"/>
    </xf>
    <xf numFmtId="0" fontId="25" fillId="0" borderId="22" xfId="0" applyFont="1" applyBorder="1" applyAlignment="1">
      <alignment horizontal="center" vertical="center"/>
    </xf>
    <xf numFmtId="0" fontId="9" fillId="0" borderId="22" xfId="0" applyFont="1" applyBorder="1" applyAlignment="1">
      <alignment horizontal="center"/>
    </xf>
    <xf numFmtId="0" fontId="25" fillId="0" borderId="23" xfId="0" applyFont="1" applyBorder="1" applyAlignment="1">
      <alignment horizontal="center" vertical="center"/>
    </xf>
    <xf numFmtId="0" fontId="16" fillId="0" borderId="0" xfId="0" applyFont="1" applyAlignment="1">
      <alignment vertical="center"/>
    </xf>
    <xf numFmtId="0" fontId="41" fillId="0" borderId="0" xfId="0" applyFont="1" applyAlignment="1">
      <alignment horizontal="left" vertical="center" indent="5"/>
    </xf>
    <xf numFmtId="0" fontId="16" fillId="0" borderId="0" xfId="0" applyFont="1"/>
    <xf numFmtId="0" fontId="34" fillId="0" borderId="0" xfId="0" applyFont="1" applyAlignment="1">
      <alignment vertical="center"/>
    </xf>
    <xf numFmtId="0" fontId="25" fillId="0" borderId="0" xfId="0" applyFont="1" applyAlignment="1">
      <alignment horizontal="left" vertical="center"/>
    </xf>
    <xf numFmtId="0" fontId="26" fillId="0" borderId="0" xfId="0" applyFont="1" applyAlignment="1">
      <alignment vertical="center"/>
    </xf>
    <xf numFmtId="0" fontId="16" fillId="0" borderId="0" xfId="0" applyFont="1" applyAlignment="1">
      <alignment horizontal="justify" vertical="center"/>
    </xf>
    <xf numFmtId="0" fontId="26" fillId="0" borderId="0" xfId="0" applyFont="1"/>
    <xf numFmtId="0" fontId="43" fillId="0" borderId="0" xfId="0" applyFont="1" applyAlignment="1">
      <alignment vertical="center"/>
    </xf>
    <xf numFmtId="0" fontId="44" fillId="0" borderId="0" xfId="0" applyFont="1" applyAlignment="1">
      <alignment horizontal="left" vertical="center"/>
    </xf>
    <xf numFmtId="0" fontId="44" fillId="0" borderId="0" xfId="0" applyFont="1" applyAlignment="1">
      <alignment vertical="center"/>
    </xf>
    <xf numFmtId="2" fontId="25" fillId="0" borderId="0" xfId="0" applyNumberFormat="1" applyFont="1" applyAlignment="1">
      <alignment horizontal="center" vertical="center"/>
    </xf>
    <xf numFmtId="1" fontId="25" fillId="0" borderId="0" xfId="0" applyNumberFormat="1" applyFont="1" applyAlignment="1">
      <alignment horizontal="center" vertical="center"/>
    </xf>
    <xf numFmtId="167" fontId="25" fillId="0" borderId="0" xfId="0" applyNumberFormat="1" applyFont="1" applyAlignment="1">
      <alignment horizontal="center" vertical="center"/>
    </xf>
    <xf numFmtId="0" fontId="44" fillId="0" borderId="0" xfId="0" applyFont="1" applyAlignment="1">
      <alignment horizontal="center" vertical="center"/>
    </xf>
    <xf numFmtId="1" fontId="44" fillId="0" borderId="0" xfId="0" applyNumberFormat="1" applyFont="1" applyAlignment="1">
      <alignment horizontal="center" vertical="center"/>
    </xf>
    <xf numFmtId="167" fontId="44" fillId="0" borderId="0" xfId="0" applyNumberFormat="1" applyFont="1" applyAlignment="1">
      <alignment horizontal="center" vertical="center"/>
    </xf>
    <xf numFmtId="0" fontId="35" fillId="0" borderId="0" xfId="0" applyFont="1" applyAlignment="1">
      <alignment horizontal="center" vertical="center"/>
    </xf>
    <xf numFmtId="1" fontId="35" fillId="0" borderId="0" xfId="0" applyNumberFormat="1" applyFont="1" applyAlignment="1">
      <alignment horizontal="center" vertical="center"/>
    </xf>
    <xf numFmtId="167" fontId="35" fillId="0" borderId="0" xfId="0" applyNumberFormat="1" applyFont="1" applyAlignment="1">
      <alignment horizontal="center" vertical="center"/>
    </xf>
    <xf numFmtId="0" fontId="9" fillId="0" borderId="0" xfId="0" applyFont="1" applyAlignment="1">
      <alignment horizontal="center"/>
    </xf>
    <xf numFmtId="2" fontId="2" fillId="0" borderId="0" xfId="0" applyNumberFormat="1" applyFont="1" applyAlignment="1">
      <alignment horizontal="center" wrapText="1"/>
    </xf>
    <xf numFmtId="169" fontId="2" fillId="0" borderId="0" xfId="0" applyNumberFormat="1" applyFont="1" applyAlignment="1">
      <alignment horizontal="center" wrapText="1"/>
    </xf>
    <xf numFmtId="0" fontId="2" fillId="0" borderId="0" xfId="0" applyFont="1" applyAlignment="1">
      <alignment horizontal="center" wrapText="1"/>
    </xf>
    <xf numFmtId="2" fontId="25" fillId="0" borderId="0" xfId="0" applyNumberFormat="1" applyFont="1" applyAlignment="1">
      <alignment horizontal="center" vertical="center" wrapText="1"/>
    </xf>
    <xf numFmtId="0" fontId="25" fillId="0" borderId="0" xfId="0" applyFont="1" applyAlignment="1">
      <alignment horizontal="center" vertical="center" wrapText="1"/>
    </xf>
    <xf numFmtId="0" fontId="34" fillId="0" borderId="0" xfId="0" applyFont="1" applyAlignment="1">
      <alignment vertical="center" wrapText="1"/>
    </xf>
    <xf numFmtId="1" fontId="26" fillId="0" borderId="16" xfId="0" applyNumberFormat="1" applyFont="1" applyBorder="1" applyAlignment="1">
      <alignment horizontal="center" vertical="center"/>
    </xf>
    <xf numFmtId="2" fontId="2" fillId="0" borderId="0" xfId="0" applyNumberFormat="1" applyFont="1" applyAlignment="1">
      <alignment horizontal="center" vertical="center" wrapText="1"/>
    </xf>
    <xf numFmtId="0" fontId="32" fillId="0" borderId="0" xfId="0" applyFont="1" applyAlignment="1">
      <alignment horizontal="right" vertical="center"/>
    </xf>
    <xf numFmtId="172" fontId="34" fillId="0" borderId="0" xfId="0" applyNumberFormat="1" applyFont="1" applyAlignment="1">
      <alignment vertical="center"/>
    </xf>
    <xf numFmtId="170" fontId="25" fillId="0" borderId="0" xfId="0" applyNumberFormat="1" applyFont="1" applyAlignment="1">
      <alignment vertical="center"/>
    </xf>
    <xf numFmtId="2" fontId="25" fillId="0" borderId="0" xfId="0" applyNumberFormat="1" applyFont="1" applyAlignment="1">
      <alignment vertical="center"/>
    </xf>
    <xf numFmtId="1" fontId="46" fillId="0" borderId="0" xfId="0" applyNumberFormat="1" applyFont="1" applyAlignment="1">
      <alignment horizontal="center" vertical="center"/>
    </xf>
    <xf numFmtId="2" fontId="46" fillId="0" borderId="0" xfId="0" applyNumberFormat="1" applyFont="1" applyAlignment="1">
      <alignment horizontal="center" vertical="center"/>
    </xf>
    <xf numFmtId="1" fontId="16" fillId="0" borderId="0" xfId="0" applyNumberFormat="1" applyFont="1" applyAlignment="1">
      <alignment horizontal="center" vertical="center"/>
    </xf>
    <xf numFmtId="0" fontId="16" fillId="0" borderId="0" xfId="0" applyFont="1" applyAlignment="1">
      <alignment horizontal="center" vertical="center"/>
    </xf>
    <xf numFmtId="0" fontId="2" fillId="0" borderId="0" xfId="0" applyFont="1" applyAlignment="1">
      <alignment horizontal="center" vertical="center" wrapText="1"/>
    </xf>
    <xf numFmtId="0" fontId="34" fillId="0" borderId="0" xfId="0" applyFont="1" applyAlignment="1">
      <alignment horizontal="center" vertical="center" wrapText="1"/>
    </xf>
    <xf numFmtId="0" fontId="32" fillId="0" borderId="0" xfId="0" applyFont="1"/>
    <xf numFmtId="173" fontId="2" fillId="0" borderId="0" xfId="0" applyNumberFormat="1" applyFont="1" applyAlignment="1">
      <alignment vertical="center"/>
    </xf>
    <xf numFmtId="0" fontId="21" fillId="0" borderId="0" xfId="0" applyFont="1"/>
    <xf numFmtId="0" fontId="52" fillId="0" borderId="0" xfId="0" applyFont="1" applyAlignment="1">
      <alignment horizontal="left" indent="5"/>
    </xf>
    <xf numFmtId="0" fontId="25" fillId="0" borderId="0" xfId="0" applyFont="1"/>
    <xf numFmtId="0" fontId="0" fillId="0" borderId="26" xfId="0" applyBorder="1"/>
    <xf numFmtId="0" fontId="9" fillId="0" borderId="0" xfId="0" applyFont="1" applyAlignment="1">
      <alignment horizontal="left" vertical="center" wrapText="1"/>
    </xf>
    <xf numFmtId="0" fontId="24" fillId="0" borderId="11" xfId="0" applyFont="1" applyBorder="1" applyAlignment="1">
      <alignment horizontal="right" vertical="center"/>
    </xf>
    <xf numFmtId="49" fontId="24" fillId="0" borderId="12" xfId="0" applyNumberFormat="1" applyFont="1" applyBorder="1" applyAlignment="1">
      <alignment vertical="center"/>
    </xf>
    <xf numFmtId="0" fontId="24" fillId="0" borderId="0" xfId="0" applyFont="1" applyAlignment="1">
      <alignment horizontal="right" vertical="center"/>
    </xf>
    <xf numFmtId="172" fontId="9" fillId="0" borderId="0" xfId="0" applyNumberFormat="1" applyFont="1" applyAlignment="1">
      <alignment vertical="center"/>
    </xf>
    <xf numFmtId="168" fontId="2" fillId="0" borderId="0" xfId="0" applyNumberFormat="1" applyFont="1" applyAlignment="1">
      <alignment horizontal="center" vertical="center"/>
    </xf>
    <xf numFmtId="2" fontId="26" fillId="0" borderId="0" xfId="0" applyNumberFormat="1" applyFont="1" applyAlignment="1">
      <alignment horizontal="center" vertical="center"/>
    </xf>
    <xf numFmtId="2" fontId="2" fillId="0" borderId="0" xfId="0" applyNumberFormat="1" applyFont="1" applyAlignment="1">
      <alignment horizontal="right" vertical="center"/>
    </xf>
    <xf numFmtId="0" fontId="53" fillId="0" borderId="0" xfId="0" applyFont="1"/>
    <xf numFmtId="0" fontId="26" fillId="0" borderId="0" xfId="0" applyFont="1" applyAlignment="1">
      <alignment horizontal="left" vertical="center" indent="1"/>
    </xf>
    <xf numFmtId="0" fontId="2" fillId="0" borderId="4" xfId="0" applyFont="1" applyBorder="1" applyAlignment="1">
      <alignment horizontal="center" vertical="center"/>
    </xf>
    <xf numFmtId="0" fontId="15" fillId="0" borderId="0" xfId="0" applyFont="1" applyAlignment="1">
      <alignment horizontal="left" vertical="center" indent="5"/>
    </xf>
    <xf numFmtId="0" fontId="11" fillId="0" borderId="0" xfId="0" applyFont="1" applyAlignment="1">
      <alignment horizontal="left" vertical="center" indent="5"/>
    </xf>
    <xf numFmtId="0" fontId="11" fillId="0" borderId="0" xfId="0" applyFont="1"/>
    <xf numFmtId="0" fontId="56" fillId="0" borderId="0" xfId="0" applyFont="1" applyAlignment="1">
      <alignment vertical="center"/>
    </xf>
    <xf numFmtId="0" fontId="2" fillId="0" borderId="0" xfId="0" applyFont="1" applyBorder="1" applyAlignment="1">
      <alignment horizontal="center" vertical="center"/>
    </xf>
    <xf numFmtId="165" fontId="8" fillId="0" borderId="0" xfId="0" applyNumberFormat="1" applyFont="1" applyBorder="1"/>
    <xf numFmtId="0" fontId="57" fillId="0" borderId="0" xfId="0" applyFont="1" applyAlignment="1">
      <alignment horizontal="left" vertical="center" indent="5"/>
    </xf>
    <xf numFmtId="0" fontId="26" fillId="0" borderId="0" xfId="0" applyFont="1" applyAlignment="1">
      <alignment horizontal="left" vertical="top"/>
    </xf>
    <xf numFmtId="0" fontId="13" fillId="0" borderId="0" xfId="0" applyFont="1" applyAlignment="1">
      <alignment horizontal="left" vertical="center"/>
    </xf>
    <xf numFmtId="0" fontId="2" fillId="0" borderId="0" xfId="0" applyFont="1" applyAlignment="1">
      <alignment horizontal="left" readingOrder="1"/>
    </xf>
    <xf numFmtId="0" fontId="9" fillId="6" borderId="17" xfId="0" applyFont="1" applyFill="1" applyBorder="1" applyAlignment="1">
      <alignment horizontal="center" vertical="center"/>
    </xf>
    <xf numFmtId="2" fontId="35" fillId="0" borderId="0" xfId="0" applyNumberFormat="1" applyFont="1" applyAlignment="1">
      <alignment horizontal="center" vertical="center"/>
    </xf>
    <xf numFmtId="2" fontId="35" fillId="0" borderId="0" xfId="0" applyNumberFormat="1" applyFont="1" applyAlignment="1">
      <alignment horizontal="center" vertical="center" wrapText="1"/>
    </xf>
    <xf numFmtId="167" fontId="25" fillId="0" borderId="0" xfId="0" applyNumberFormat="1" applyFont="1" applyAlignment="1">
      <alignment vertical="center"/>
    </xf>
    <xf numFmtId="2" fontId="2" fillId="5" borderId="4" xfId="0" applyNumberFormat="1" applyFont="1" applyFill="1" applyBorder="1" applyAlignment="1">
      <alignment horizontal="center" vertical="center" wrapText="1"/>
    </xf>
    <xf numFmtId="1" fontId="2" fillId="5" borderId="4" xfId="0" applyNumberFormat="1" applyFont="1" applyFill="1" applyBorder="1" applyAlignment="1">
      <alignment horizontal="center" vertical="center" wrapText="1"/>
    </xf>
    <xf numFmtId="2" fontId="26" fillId="12" borderId="4" xfId="0" applyNumberFormat="1" applyFont="1" applyFill="1" applyBorder="1" applyAlignment="1">
      <alignment horizontal="center" wrapText="1"/>
    </xf>
    <xf numFmtId="4" fontId="26" fillId="0" borderId="4" xfId="0" applyNumberFormat="1" applyFont="1" applyBorder="1" applyAlignment="1">
      <alignment horizontal="center" vertical="center" wrapText="1"/>
    </xf>
    <xf numFmtId="4" fontId="26" fillId="0" borderId="13" xfId="0" applyNumberFormat="1" applyFont="1" applyBorder="1" applyAlignment="1">
      <alignment horizontal="center" vertical="center" wrapText="1"/>
    </xf>
    <xf numFmtId="3" fontId="26" fillId="4" borderId="4" xfId="0" applyNumberFormat="1" applyFont="1" applyFill="1" applyBorder="1" applyAlignment="1">
      <alignment horizontal="center" vertical="center" wrapText="1"/>
    </xf>
    <xf numFmtId="167" fontId="2" fillId="5" borderId="4" xfId="0" applyNumberFormat="1" applyFont="1" applyFill="1" applyBorder="1" applyAlignment="1">
      <alignment horizontal="center" vertical="center" wrapText="1"/>
    </xf>
    <xf numFmtId="0" fontId="27" fillId="0" borderId="0" xfId="0" applyFont="1" applyAlignment="1">
      <alignment horizontal="center" vertical="center"/>
    </xf>
    <xf numFmtId="0" fontId="35" fillId="0" borderId="0" xfId="0" applyFont="1" applyAlignment="1">
      <alignment horizontal="center" vertical="center" wrapText="1"/>
    </xf>
    <xf numFmtId="1" fontId="35" fillId="0" borderId="0" xfId="0" applyNumberFormat="1" applyFont="1" applyAlignment="1">
      <alignment horizontal="center" vertical="center" wrapText="1"/>
    </xf>
    <xf numFmtId="167" fontId="35" fillId="0" borderId="0" xfId="0" applyNumberFormat="1" applyFont="1" applyAlignment="1">
      <alignment horizontal="center" vertical="center" wrapText="1"/>
    </xf>
    <xf numFmtId="2" fontId="60" fillId="0" borderId="0" xfId="0" applyNumberFormat="1" applyFont="1" applyAlignment="1">
      <alignment horizontal="center" vertical="center"/>
    </xf>
    <xf numFmtId="0" fontId="9" fillId="0" borderId="0" xfId="0" applyFont="1" applyAlignment="1">
      <alignment horizontal="center" vertical="center" wrapText="1"/>
    </xf>
    <xf numFmtId="0" fontId="9" fillId="23" borderId="4" xfId="0" applyFont="1" applyFill="1" applyBorder="1" applyAlignment="1">
      <alignment horizontal="center" vertical="center" wrapText="1"/>
    </xf>
    <xf numFmtId="0" fontId="25" fillId="0" borderId="4" xfId="0" applyFont="1" applyBorder="1" applyAlignment="1">
      <alignment horizontal="center" vertical="center"/>
    </xf>
    <xf numFmtId="2" fontId="25" fillId="0" borderId="4" xfId="0" applyNumberFormat="1" applyFont="1" applyBorder="1" applyAlignment="1">
      <alignment horizontal="center" vertical="center"/>
    </xf>
    <xf numFmtId="1" fontId="25" fillId="0" borderId="4" xfId="0" applyNumberFormat="1" applyFont="1" applyBorder="1" applyAlignment="1">
      <alignment horizontal="center" vertical="center"/>
    </xf>
    <xf numFmtId="167" fontId="25" fillId="0" borderId="4" xfId="0" applyNumberFormat="1" applyFont="1" applyBorder="1" applyAlignment="1">
      <alignment horizontal="center" vertical="center"/>
    </xf>
    <xf numFmtId="0" fontId="16" fillId="0" borderId="4" xfId="0" applyFont="1" applyBorder="1" applyAlignment="1">
      <alignment horizontal="center"/>
    </xf>
    <xf numFmtId="1" fontId="36" fillId="17" borderId="4" xfId="0" applyNumberFormat="1" applyFont="1" applyFill="1" applyBorder="1" applyAlignment="1">
      <alignment horizontal="center"/>
    </xf>
    <xf numFmtId="0" fontId="9" fillId="0" borderId="4" xfId="0" applyFont="1" applyBorder="1" applyAlignment="1">
      <alignment horizontal="center" vertical="center"/>
    </xf>
    <xf numFmtId="1" fontId="2" fillId="0" borderId="4" xfId="0" applyNumberFormat="1" applyFont="1" applyBorder="1" applyAlignment="1">
      <alignment horizontal="center" vertical="center" wrapText="1"/>
    </xf>
    <xf numFmtId="1" fontId="9" fillId="23" borderId="4" xfId="0" applyNumberFormat="1" applyFont="1" applyFill="1" applyBorder="1" applyAlignment="1">
      <alignment horizontal="center" vertical="center" wrapText="1"/>
    </xf>
    <xf numFmtId="173" fontId="9" fillId="0" borderId="0" xfId="0" applyNumberFormat="1" applyFont="1" applyAlignment="1">
      <alignment vertical="center"/>
    </xf>
    <xf numFmtId="2" fontId="21" fillId="0" borderId="0" xfId="0" applyNumberFormat="1" applyFont="1" applyAlignment="1">
      <alignment vertical="center"/>
    </xf>
    <xf numFmtId="0" fontId="2" fillId="0" borderId="0" xfId="0" applyFont="1" applyAlignment="1"/>
    <xf numFmtId="0" fontId="25" fillId="0" borderId="0" xfId="0" applyFont="1" applyAlignment="1">
      <alignment horizontal="center" wrapText="1"/>
    </xf>
    <xf numFmtId="0" fontId="9" fillId="0" borderId="0" xfId="0" applyFont="1" applyAlignment="1">
      <alignment vertical="center" wrapText="1"/>
    </xf>
    <xf numFmtId="0" fontId="63" fillId="0" borderId="0" xfId="0" applyFont="1" applyAlignment="1">
      <alignment vertical="center" wrapText="1"/>
    </xf>
    <xf numFmtId="0" fontId="9" fillId="6" borderId="24" xfId="0" applyFont="1" applyFill="1" applyBorder="1" applyAlignment="1">
      <alignment horizontal="center" vertical="center"/>
    </xf>
    <xf numFmtId="2" fontId="51" fillId="0" borderId="11" xfId="0" applyNumberFormat="1" applyFont="1" applyFill="1" applyBorder="1" applyAlignment="1">
      <alignment horizontal="center" vertical="center"/>
    </xf>
    <xf numFmtId="0" fontId="34" fillId="0" borderId="16" xfId="0" applyFont="1" applyFill="1" applyBorder="1" applyAlignment="1">
      <alignment horizontal="center" vertical="center"/>
    </xf>
    <xf numFmtId="9" fontId="51" fillId="0" borderId="16" xfId="1" applyFont="1" applyFill="1" applyBorder="1" applyAlignment="1">
      <alignment horizontal="center" vertical="center"/>
    </xf>
    <xf numFmtId="2" fontId="51" fillId="0" borderId="24" xfId="0" applyNumberFormat="1" applyFont="1" applyFill="1" applyBorder="1" applyAlignment="1">
      <alignment horizontal="center" vertical="center"/>
    </xf>
    <xf numFmtId="1" fontId="51" fillId="0" borderId="24" xfId="0" applyNumberFormat="1" applyFont="1" applyFill="1" applyBorder="1" applyAlignment="1">
      <alignment horizontal="center" vertical="center"/>
    </xf>
    <xf numFmtId="0" fontId="2" fillId="0" borderId="0" xfId="0" applyFont="1" applyFill="1" applyAlignment="1">
      <alignment vertical="center"/>
    </xf>
    <xf numFmtId="0" fontId="2" fillId="0" borderId="27" xfId="0" applyFont="1" applyFill="1" applyBorder="1" applyAlignment="1">
      <alignment vertical="center"/>
    </xf>
    <xf numFmtId="0" fontId="25" fillId="0" borderId="0" xfId="0" applyFont="1" applyFill="1" applyAlignment="1">
      <alignment horizontal="center" vertical="center"/>
    </xf>
    <xf numFmtId="2" fontId="2" fillId="0" borderId="4" xfId="0" applyNumberFormat="1" applyFont="1" applyFill="1" applyBorder="1" applyAlignment="1">
      <alignment horizontal="center" vertical="center" wrapText="1"/>
    </xf>
    <xf numFmtId="0" fontId="67" fillId="0" borderId="0" xfId="0" applyFont="1"/>
    <xf numFmtId="164" fontId="26" fillId="22" borderId="4" xfId="2" applyFont="1" applyFill="1" applyBorder="1" applyAlignment="1">
      <alignment horizontal="center"/>
    </xf>
    <xf numFmtId="164" fontId="26" fillId="11" borderId="4" xfId="2" applyFont="1" applyFill="1" applyBorder="1" applyAlignment="1">
      <alignment horizontal="center"/>
    </xf>
    <xf numFmtId="164" fontId="26" fillId="2" borderId="4" xfId="2" applyFont="1" applyFill="1" applyBorder="1" applyAlignment="1">
      <alignment horizontal="center"/>
    </xf>
    <xf numFmtId="0" fontId="26" fillId="0" borderId="4" xfId="0" applyFont="1" applyBorder="1" applyAlignment="1">
      <alignment horizontal="center"/>
    </xf>
    <xf numFmtId="2" fontId="2" fillId="0" borderId="4" xfId="0" applyNumberFormat="1" applyFont="1" applyBorder="1" applyAlignment="1">
      <alignment horizontal="center"/>
    </xf>
    <xf numFmtId="0" fontId="2" fillId="0" borderId="4" xfId="0" applyFont="1" applyBorder="1" applyAlignment="1">
      <alignment horizontal="center"/>
    </xf>
    <xf numFmtId="164" fontId="26" fillId="5" borderId="4" xfId="2" applyFont="1" applyFill="1" applyBorder="1" applyAlignment="1">
      <alignment horizontal="center"/>
    </xf>
    <xf numFmtId="0" fontId="26" fillId="0" borderId="4" xfId="0" applyFont="1" applyBorder="1" applyAlignment="1">
      <alignment horizontal="center" vertical="center"/>
    </xf>
    <xf numFmtId="164" fontId="0" fillId="0" borderId="0" xfId="0" applyNumberFormat="1"/>
    <xf numFmtId="0" fontId="9" fillId="27" borderId="4" xfId="0" applyFont="1" applyFill="1" applyBorder="1" applyAlignment="1">
      <alignment horizontal="center" vertical="center"/>
    </xf>
    <xf numFmtId="0" fontId="26" fillId="10" borderId="4" xfId="0" applyFont="1" applyFill="1" applyBorder="1" applyAlignment="1">
      <alignment horizontal="center" vertical="center" wrapText="1"/>
    </xf>
    <xf numFmtId="0" fontId="25" fillId="0" borderId="0" xfId="0" applyFont="1" applyFill="1" applyAlignment="1">
      <alignment vertical="center"/>
    </xf>
    <xf numFmtId="171" fontId="2" fillId="0" borderId="16" xfId="0" applyNumberFormat="1" applyFont="1" applyBorder="1" applyAlignment="1">
      <alignment horizontal="center" vertical="center" wrapText="1"/>
    </xf>
    <xf numFmtId="0" fontId="69" fillId="0" borderId="0" xfId="0" applyFont="1"/>
    <xf numFmtId="0" fontId="9" fillId="0" borderId="4" xfId="0" applyFont="1" applyFill="1" applyBorder="1" applyAlignment="1">
      <alignment horizontal="center" vertical="center" wrapText="1"/>
    </xf>
    <xf numFmtId="0" fontId="21" fillId="23" borderId="9" xfId="0" applyFont="1" applyFill="1" applyBorder="1" applyAlignment="1">
      <alignment horizontal="center" vertical="center" wrapText="1"/>
    </xf>
    <xf numFmtId="0" fontId="31" fillId="23" borderId="9" xfId="0" applyFont="1" applyFill="1" applyBorder="1" applyAlignment="1">
      <alignment horizontal="center" vertical="center" wrapText="1"/>
    </xf>
    <xf numFmtId="0" fontId="73" fillId="0" borderId="0" xfId="0" applyFont="1"/>
    <xf numFmtId="0" fontId="2" fillId="0" borderId="0" xfId="0" applyFont="1" applyBorder="1"/>
    <xf numFmtId="0" fontId="3" fillId="0" borderId="0" xfId="0" applyFont="1" applyBorder="1" applyAlignment="1">
      <alignment vertical="center" wrapText="1"/>
    </xf>
    <xf numFmtId="0" fontId="5" fillId="0" borderId="0" xfId="0" applyFont="1" applyBorder="1" applyAlignment="1">
      <alignment horizontal="center" vertical="center" wrapText="1"/>
    </xf>
    <xf numFmtId="0" fontId="4" fillId="0" borderId="0" xfId="0" applyFont="1" applyBorder="1" applyAlignment="1">
      <alignment horizontal="center" vertical="center" wrapText="1"/>
    </xf>
    <xf numFmtId="0" fontId="6" fillId="0" borderId="0" xfId="0" applyFont="1" applyBorder="1" applyAlignment="1">
      <alignment horizontal="left"/>
    </xf>
    <xf numFmtId="0" fontId="6" fillId="0" borderId="0" xfId="0" applyFont="1" applyBorder="1" applyAlignment="1">
      <alignment horizontal="right"/>
    </xf>
    <xf numFmtId="0" fontId="7" fillId="0" borderId="0" xfId="0" applyFont="1" applyBorder="1" applyAlignment="1">
      <alignment vertical="center"/>
    </xf>
    <xf numFmtId="0" fontId="2" fillId="0" borderId="69" xfId="0" applyFont="1" applyBorder="1" applyAlignment="1">
      <alignment horizontal="center" vertical="center"/>
    </xf>
    <xf numFmtId="0" fontId="2" fillId="0" borderId="70" xfId="0" applyFont="1" applyBorder="1" applyAlignment="1">
      <alignment horizontal="center" vertical="center"/>
    </xf>
    <xf numFmtId="0" fontId="4" fillId="0" borderId="70" xfId="0" applyFont="1" applyBorder="1" applyAlignment="1">
      <alignment vertical="center" wrapText="1"/>
    </xf>
    <xf numFmtId="0" fontId="4" fillId="0" borderId="70" xfId="0" applyFont="1" applyBorder="1" applyAlignment="1">
      <alignment horizontal="center" vertical="center" wrapText="1"/>
    </xf>
    <xf numFmtId="0" fontId="7" fillId="0" borderId="70" xfId="0" applyFont="1" applyBorder="1" applyAlignment="1">
      <alignment vertical="center"/>
    </xf>
    <xf numFmtId="165" fontId="8" fillId="0" borderId="70" xfId="0" applyNumberFormat="1" applyFont="1" applyBorder="1"/>
    <xf numFmtId="0" fontId="2" fillId="0" borderId="74" xfId="0" applyFont="1" applyBorder="1" applyAlignment="1">
      <alignment horizontal="center" vertical="center"/>
    </xf>
    <xf numFmtId="0" fontId="2" fillId="0" borderId="75" xfId="0" applyFont="1" applyBorder="1" applyAlignment="1">
      <alignment horizontal="center" vertical="center"/>
    </xf>
    <xf numFmtId="0" fontId="2" fillId="0" borderId="76" xfId="0" applyFont="1" applyBorder="1" applyAlignment="1">
      <alignment horizontal="center" vertical="center"/>
    </xf>
    <xf numFmtId="0" fontId="9" fillId="0" borderId="0" xfId="0" applyFont="1" applyFill="1" applyAlignment="1">
      <alignment vertical="center"/>
    </xf>
    <xf numFmtId="0" fontId="2" fillId="0" borderId="0" xfId="0" applyFont="1" applyFill="1" applyAlignment="1">
      <alignment horizontal="center" vertical="center"/>
    </xf>
    <xf numFmtId="0" fontId="2" fillId="0" borderId="0" xfId="0" applyFont="1" applyFill="1" applyAlignment="1">
      <alignment horizontal="left" vertical="center"/>
    </xf>
    <xf numFmtId="0" fontId="10" fillId="0" borderId="0" xfId="0" applyFont="1" applyFill="1" applyAlignment="1">
      <alignment vertical="center"/>
    </xf>
    <xf numFmtId="0" fontId="2" fillId="0" borderId="0" xfId="0" applyFont="1" applyFill="1"/>
    <xf numFmtId="0" fontId="9" fillId="0" borderId="0" xfId="0" applyFont="1" applyFill="1" applyAlignment="1">
      <alignment horizontal="left" vertical="center"/>
    </xf>
    <xf numFmtId="2" fontId="25" fillId="0" borderId="45" xfId="0" applyNumberFormat="1" applyFont="1" applyFill="1" applyBorder="1" applyAlignment="1">
      <alignment horizontal="center" vertical="center"/>
    </xf>
    <xf numFmtId="2" fontId="25" fillId="0" borderId="46" xfId="0" applyNumberFormat="1" applyFont="1" applyFill="1" applyBorder="1" applyAlignment="1">
      <alignment horizontal="center" vertical="center"/>
    </xf>
    <xf numFmtId="0" fontId="35" fillId="0" borderId="0" xfId="0" applyFont="1" applyFill="1" applyAlignment="1">
      <alignment vertical="center"/>
    </xf>
    <xf numFmtId="1" fontId="2" fillId="0" borderId="0" xfId="0" applyNumberFormat="1" applyFont="1" applyFill="1" applyAlignment="1">
      <alignment horizontal="center" vertical="center"/>
    </xf>
    <xf numFmtId="2" fontId="25" fillId="0" borderId="0" xfId="0" applyNumberFormat="1" applyFont="1" applyFill="1" applyAlignment="1">
      <alignment horizontal="center" vertical="center"/>
    </xf>
    <xf numFmtId="0" fontId="25" fillId="0" borderId="0" xfId="0" applyFont="1" applyFill="1"/>
    <xf numFmtId="2" fontId="35" fillId="0" borderId="0" xfId="0" applyNumberFormat="1" applyFont="1" applyFill="1" applyAlignment="1">
      <alignment horizontal="center" vertical="center"/>
    </xf>
    <xf numFmtId="2" fontId="48" fillId="0" borderId="0" xfId="0" applyNumberFormat="1" applyFont="1" applyFill="1" applyAlignment="1">
      <alignment horizontal="center" vertical="center"/>
    </xf>
    <xf numFmtId="0" fontId="2" fillId="0" borderId="0" xfId="0" applyFont="1" applyFill="1" applyAlignment="1"/>
    <xf numFmtId="0" fontId="74" fillId="0" borderId="0" xfId="0" applyFont="1" applyFill="1"/>
    <xf numFmtId="190" fontId="25" fillId="0" borderId="4" xfId="0" applyNumberFormat="1" applyFont="1" applyFill="1" applyBorder="1" applyAlignment="1">
      <alignment horizontal="center" vertical="center"/>
    </xf>
    <xf numFmtId="179" fontId="25" fillId="0" borderId="4" xfId="0" applyNumberFormat="1" applyFont="1" applyFill="1" applyBorder="1" applyAlignment="1">
      <alignment horizontal="center" vertical="center"/>
    </xf>
    <xf numFmtId="182" fontId="74" fillId="0" borderId="58" xfId="0" applyNumberFormat="1" applyFont="1" applyFill="1" applyBorder="1" applyAlignment="1">
      <alignment horizontal="center" vertical="center"/>
    </xf>
    <xf numFmtId="2" fontId="74" fillId="0" borderId="58" xfId="0" applyNumberFormat="1" applyFont="1" applyFill="1" applyBorder="1" applyAlignment="1">
      <alignment horizontal="center" vertical="center"/>
    </xf>
    <xf numFmtId="179" fontId="74" fillId="0" borderId="58" xfId="0" applyNumberFormat="1" applyFont="1" applyFill="1" applyBorder="1" applyAlignment="1">
      <alignment horizontal="center" vertical="center"/>
    </xf>
    <xf numFmtId="183" fontId="74" fillId="0" borderId="54" xfId="0" applyNumberFormat="1" applyFont="1" applyFill="1" applyBorder="1" applyAlignment="1">
      <alignment horizontal="center" vertical="center"/>
    </xf>
    <xf numFmtId="1" fontId="25" fillId="0" borderId="4" xfId="0" applyNumberFormat="1" applyFont="1" applyFill="1" applyBorder="1" applyAlignment="1">
      <alignment horizontal="center" vertical="center"/>
    </xf>
    <xf numFmtId="0" fontId="25" fillId="0" borderId="4" xfId="0" applyFont="1" applyFill="1" applyBorder="1" applyAlignment="1">
      <alignment horizontal="center" vertical="center"/>
    </xf>
    <xf numFmtId="0" fontId="75" fillId="0" borderId="0" xfId="0" applyFont="1" applyFill="1" applyAlignment="1">
      <alignment horizontal="center" vertical="center" wrapText="1"/>
    </xf>
    <xf numFmtId="0" fontId="76" fillId="0" borderId="0" xfId="0" applyFont="1" applyFill="1" applyAlignment="1">
      <alignment horizontal="center" vertical="center"/>
    </xf>
    <xf numFmtId="0" fontId="2" fillId="0" borderId="4" xfId="0" applyFont="1" applyFill="1" applyBorder="1" applyAlignment="1">
      <alignment horizontal="center" vertical="center"/>
    </xf>
    <xf numFmtId="0" fontId="2" fillId="0" borderId="16" xfId="0" applyFont="1" applyFill="1" applyBorder="1" applyAlignment="1">
      <alignment horizontal="center" vertical="center" wrapText="1"/>
    </xf>
    <xf numFmtId="0" fontId="2" fillId="0" borderId="4" xfId="0" applyFont="1" applyFill="1" applyBorder="1" applyAlignment="1">
      <alignment horizontal="center" vertical="center" wrapText="1"/>
    </xf>
    <xf numFmtId="0" fontId="78" fillId="0" borderId="0" xfId="0" applyFont="1" applyFill="1" applyAlignment="1">
      <alignment horizontal="center"/>
    </xf>
    <xf numFmtId="0" fontId="25" fillId="0" borderId="4" xfId="0" applyFont="1" applyFill="1" applyBorder="1" applyAlignment="1">
      <alignment horizontal="center"/>
    </xf>
    <xf numFmtId="0" fontId="35" fillId="0" borderId="4" xfId="0" applyFont="1" applyFill="1" applyBorder="1" applyAlignment="1">
      <alignment horizontal="center"/>
    </xf>
    <xf numFmtId="1" fontId="25" fillId="0" borderId="4" xfId="0" applyNumberFormat="1" applyFont="1" applyFill="1" applyBorder="1" applyAlignment="1">
      <alignment horizontal="center"/>
    </xf>
    <xf numFmtId="0" fontId="76" fillId="0" borderId="0" xfId="0" applyFont="1" applyFill="1" applyAlignment="1">
      <alignment horizontal="center"/>
    </xf>
    <xf numFmtId="0" fontId="77" fillId="0" borderId="0" xfId="0" applyFont="1" applyFill="1" applyAlignment="1">
      <alignment horizontal="center" vertical="center"/>
    </xf>
    <xf numFmtId="0" fontId="10" fillId="0" borderId="0" xfId="0" applyFont="1" applyFill="1" applyAlignment="1">
      <alignment horizontal="center" vertical="center"/>
    </xf>
    <xf numFmtId="0" fontId="2" fillId="0" borderId="0" xfId="0" applyFont="1" applyFill="1" applyAlignment="1">
      <alignment horizontal="center"/>
    </xf>
    <xf numFmtId="2" fontId="2" fillId="0" borderId="0" xfId="0" applyNumberFormat="1" applyFont="1" applyFill="1" applyAlignment="1">
      <alignment horizontal="center" vertical="center"/>
    </xf>
    <xf numFmtId="0" fontId="35" fillId="0" borderId="0" xfId="0" applyFont="1" applyFill="1" applyAlignment="1">
      <alignment horizontal="center" vertical="center"/>
    </xf>
    <xf numFmtId="0" fontId="25" fillId="0" borderId="0" xfId="0" applyFont="1" applyFill="1" applyAlignment="1">
      <alignment horizontal="center"/>
    </xf>
    <xf numFmtId="2" fontId="25" fillId="0" borderId="0" xfId="0" applyNumberFormat="1" applyFont="1" applyFill="1" applyAlignment="1">
      <alignment horizontal="center" vertical="center" wrapText="1"/>
    </xf>
    <xf numFmtId="0" fontId="74" fillId="0" borderId="0" xfId="0" applyFont="1" applyFill="1" applyAlignment="1">
      <alignment horizontal="center"/>
    </xf>
    <xf numFmtId="2" fontId="9" fillId="0" borderId="16" xfId="0" applyNumberFormat="1" applyFont="1" applyFill="1" applyBorder="1" applyAlignment="1">
      <alignment horizontal="center" vertical="center" wrapText="1"/>
    </xf>
    <xf numFmtId="1" fontId="9" fillId="0" borderId="16" xfId="0" applyNumberFormat="1" applyFont="1" applyBorder="1" applyAlignment="1">
      <alignment horizontal="center" vertical="center"/>
    </xf>
    <xf numFmtId="1" fontId="9" fillId="0" borderId="0" xfId="0" applyNumberFormat="1" applyFont="1" applyAlignment="1">
      <alignment horizontal="right" vertical="center"/>
    </xf>
    <xf numFmtId="2" fontId="25" fillId="0" borderId="21" xfId="0" applyNumberFormat="1" applyFont="1" applyFill="1" applyBorder="1" applyAlignment="1">
      <alignment horizontal="right" vertical="center"/>
    </xf>
    <xf numFmtId="2" fontId="25" fillId="0" borderId="23" xfId="0" applyNumberFormat="1" applyFont="1" applyFill="1" applyBorder="1" applyAlignment="1">
      <alignment horizontal="left" vertical="center"/>
    </xf>
    <xf numFmtId="2" fontId="21" fillId="0" borderId="0" xfId="0" applyNumberFormat="1" applyFont="1" applyAlignment="1">
      <alignment horizontal="right"/>
    </xf>
    <xf numFmtId="192" fontId="9" fillId="0" borderId="11" xfId="0" applyNumberFormat="1" applyFont="1" applyBorder="1" applyAlignment="1">
      <alignment horizontal="right" vertical="center"/>
    </xf>
    <xf numFmtId="170" fontId="9" fillId="0" borderId="12" xfId="0" applyNumberFormat="1" applyFont="1" applyBorder="1" applyAlignment="1">
      <alignment horizontal="left" vertical="center" wrapText="1"/>
    </xf>
    <xf numFmtId="2" fontId="2" fillId="0" borderId="0" xfId="0" applyNumberFormat="1" applyFont="1" applyFill="1" applyBorder="1" applyAlignment="1">
      <alignment horizontal="center" wrapText="1"/>
    </xf>
    <xf numFmtId="187" fontId="25" fillId="0" borderId="0" xfId="0" applyNumberFormat="1" applyFont="1" applyFill="1" applyAlignment="1">
      <alignment horizontal="center"/>
    </xf>
    <xf numFmtId="0" fontId="21" fillId="23" borderId="16" xfId="0" applyFont="1" applyFill="1" applyBorder="1" applyAlignment="1">
      <alignment horizontal="center" vertical="center" wrapText="1"/>
    </xf>
    <xf numFmtId="0" fontId="2" fillId="0" borderId="78" xfId="0" applyFont="1" applyFill="1" applyBorder="1" applyAlignment="1">
      <alignment horizontal="center" vertical="center"/>
    </xf>
    <xf numFmtId="0" fontId="9" fillId="6" borderId="24" xfId="0" applyFont="1" applyFill="1" applyBorder="1" applyAlignment="1">
      <alignment horizontal="center" vertical="center"/>
    </xf>
    <xf numFmtId="0" fontId="9" fillId="6" borderId="17" xfId="0" applyFont="1" applyFill="1" applyBorder="1" applyAlignment="1">
      <alignment horizontal="center" vertical="center"/>
    </xf>
    <xf numFmtId="193" fontId="17" fillId="0" borderId="0" xfId="0" applyNumberFormat="1" applyFont="1" applyBorder="1" applyAlignment="1">
      <alignment horizontal="center"/>
    </xf>
    <xf numFmtId="2" fontId="25" fillId="0" borderId="4" xfId="0" applyNumberFormat="1" applyFont="1" applyFill="1" applyBorder="1" applyAlignment="1">
      <alignment horizontal="center" vertical="center"/>
    </xf>
    <xf numFmtId="2" fontId="2" fillId="0" borderId="4" xfId="0" applyNumberFormat="1" applyFont="1" applyBorder="1" applyAlignment="1">
      <alignment horizontal="center" vertical="center"/>
    </xf>
    <xf numFmtId="2" fontId="2" fillId="0" borderId="15" xfId="0" applyNumberFormat="1" applyFont="1" applyBorder="1" applyAlignment="1">
      <alignment horizontal="center" vertical="center"/>
    </xf>
    <xf numFmtId="0" fontId="17" fillId="0" borderId="0" xfId="0" applyFont="1" applyFill="1" applyAlignment="1">
      <alignment vertical="center"/>
    </xf>
    <xf numFmtId="0" fontId="65" fillId="0" borderId="36" xfId="0" applyFont="1" applyFill="1" applyBorder="1" applyAlignment="1">
      <alignment horizontal="right" vertical="center"/>
    </xf>
    <xf numFmtId="0" fontId="65" fillId="0" borderId="0" xfId="0" applyFont="1" applyFill="1" applyBorder="1" applyAlignment="1">
      <alignment horizontal="right" vertical="center"/>
    </xf>
    <xf numFmtId="0" fontId="26" fillId="0" borderId="0" xfId="0" applyFont="1" applyAlignment="1">
      <alignment horizontal="left" vertical="center"/>
    </xf>
    <xf numFmtId="0" fontId="24" fillId="0" borderId="0" xfId="0" applyFont="1" applyAlignment="1">
      <alignment horizontal="left" vertical="center" wrapText="1"/>
    </xf>
    <xf numFmtId="0" fontId="82" fillId="0" borderId="0" xfId="0" applyFont="1" applyAlignment="1">
      <alignment horizontal="right"/>
    </xf>
    <xf numFmtId="0" fontId="84" fillId="0" borderId="0" xfId="0" applyFont="1" applyAlignment="1">
      <alignment horizontal="center" vertical="center"/>
    </xf>
    <xf numFmtId="0" fontId="11" fillId="0" borderId="0" xfId="0" applyFont="1" applyAlignment="1">
      <alignment vertical="top"/>
    </xf>
    <xf numFmtId="0" fontId="10" fillId="0" borderId="0" xfId="0" applyFont="1" applyFill="1" applyAlignment="1">
      <alignment horizontal="center" vertical="top"/>
    </xf>
    <xf numFmtId="0" fontId="11" fillId="0" borderId="0" xfId="0" applyFont="1" applyAlignment="1">
      <alignment vertical="top" wrapText="1"/>
    </xf>
    <xf numFmtId="0" fontId="15" fillId="0" borderId="0" xfId="0" applyFont="1" applyAlignment="1">
      <alignment vertical="top" wrapText="1"/>
    </xf>
    <xf numFmtId="0" fontId="86" fillId="0" borderId="0" xfId="0" applyFont="1" applyAlignment="1">
      <alignment vertical="center"/>
    </xf>
    <xf numFmtId="0" fontId="87" fillId="0" borderId="0" xfId="0" applyFont="1"/>
    <xf numFmtId="0" fontId="10" fillId="0" borderId="0" xfId="0" applyFont="1" applyFill="1" applyAlignment="1">
      <alignment horizontal="center"/>
    </xf>
    <xf numFmtId="0" fontId="11" fillId="0" borderId="0" xfId="0" applyFont="1" applyAlignment="1">
      <alignment horizontal="center" vertical="center"/>
    </xf>
    <xf numFmtId="0" fontId="88" fillId="0" borderId="0" xfId="0" applyFont="1" applyAlignment="1">
      <alignment horizontal="left" indent="15"/>
    </xf>
    <xf numFmtId="0" fontId="26" fillId="0" borderId="0" xfId="0" applyFont="1" applyAlignment="1">
      <alignment horizontal="center" vertical="center"/>
    </xf>
    <xf numFmtId="0" fontId="26" fillId="0" borderId="0" xfId="0" applyFont="1" applyAlignment="1">
      <alignment vertical="top"/>
    </xf>
    <xf numFmtId="0" fontId="2" fillId="0" borderId="0" xfId="0" applyFont="1" applyFill="1" applyAlignment="1">
      <alignment horizontal="center" vertical="top"/>
    </xf>
    <xf numFmtId="0" fontId="26" fillId="0" borderId="0" xfId="0" applyFont="1" applyAlignment="1">
      <alignment vertical="top" wrapText="1"/>
    </xf>
    <xf numFmtId="0" fontId="24" fillId="0" borderId="0" xfId="0" applyFont="1" applyAlignment="1">
      <alignment vertical="top" wrapText="1"/>
    </xf>
    <xf numFmtId="0" fontId="24" fillId="0" borderId="0" xfId="0" applyFont="1" applyAlignment="1">
      <alignment horizontal="left" vertical="top" wrapText="1"/>
    </xf>
    <xf numFmtId="191" fontId="24" fillId="0" borderId="0" xfId="0" applyNumberFormat="1" applyFont="1" applyAlignment="1">
      <alignment vertical="top"/>
    </xf>
    <xf numFmtId="14" fontId="12" fillId="0" borderId="0" xfId="0" applyNumberFormat="1" applyFont="1" applyAlignment="1">
      <alignment vertical="center"/>
    </xf>
    <xf numFmtId="167" fontId="2" fillId="0" borderId="0" xfId="0" applyNumberFormat="1" applyFont="1" applyFill="1" applyAlignment="1">
      <alignment horizontal="center" vertical="center"/>
    </xf>
    <xf numFmtId="1" fontId="2" fillId="0" borderId="4" xfId="0" applyNumberFormat="1" applyFont="1" applyFill="1" applyBorder="1" applyAlignment="1">
      <alignment horizontal="center" vertical="center"/>
    </xf>
    <xf numFmtId="0" fontId="26" fillId="0" borderId="0" xfId="0" applyFont="1" applyAlignment="1">
      <alignment horizontal="left" vertical="center"/>
    </xf>
    <xf numFmtId="0" fontId="24" fillId="0" borderId="0" xfId="0" applyFont="1" applyAlignment="1">
      <alignment horizontal="left" vertical="center" wrapText="1"/>
    </xf>
    <xf numFmtId="0" fontId="24" fillId="0" borderId="0" xfId="0" applyFont="1" applyAlignment="1">
      <alignment horizontal="left" vertical="top" wrapText="1"/>
    </xf>
    <xf numFmtId="0" fontId="26" fillId="0" borderId="0" xfId="0" applyFont="1" applyAlignment="1">
      <alignment horizontal="center" vertical="center"/>
    </xf>
    <xf numFmtId="4" fontId="74" fillId="0" borderId="0" xfId="0" applyNumberFormat="1" applyFont="1" applyFill="1" applyAlignment="1">
      <alignment horizontal="center"/>
    </xf>
    <xf numFmtId="2" fontId="2" fillId="0" borderId="4" xfId="0" applyNumberFormat="1" applyFont="1" applyFill="1" applyBorder="1" applyAlignment="1">
      <alignment horizontal="center" vertical="center"/>
    </xf>
    <xf numFmtId="167" fontId="9" fillId="5" borderId="30" xfId="0" applyNumberFormat="1" applyFont="1" applyFill="1" applyBorder="1" applyAlignment="1">
      <alignment horizontal="center" vertical="center"/>
    </xf>
    <xf numFmtId="2" fontId="2" fillId="5" borderId="30" xfId="0" applyNumberFormat="1" applyFont="1" applyFill="1" applyBorder="1" applyAlignment="1">
      <alignment horizontal="center" vertical="center"/>
    </xf>
    <xf numFmtId="0" fontId="31" fillId="23" borderId="19" xfId="0" applyFont="1" applyFill="1" applyBorder="1" applyAlignment="1">
      <alignment horizontal="center" vertical="center" wrapText="1"/>
    </xf>
    <xf numFmtId="0" fontId="9" fillId="0" borderId="4" xfId="0" applyFont="1" applyFill="1" applyBorder="1" applyAlignment="1">
      <alignment horizontal="center" vertical="center"/>
    </xf>
    <xf numFmtId="0" fontId="34" fillId="0" borderId="0" xfId="0" applyFont="1" applyAlignment="1">
      <alignment horizontal="right" vertical="center"/>
    </xf>
    <xf numFmtId="0" fontId="34" fillId="0" borderId="0" xfId="0" applyFont="1" applyAlignment="1">
      <alignment horizontal="left" vertical="center"/>
    </xf>
    <xf numFmtId="0" fontId="25" fillId="0" borderId="0" xfId="0" applyFont="1" applyBorder="1" applyAlignment="1">
      <alignment horizontal="center" vertical="center"/>
    </xf>
    <xf numFmtId="2" fontId="25" fillId="0" borderId="0" xfId="0" applyNumberFormat="1" applyFont="1" applyBorder="1" applyAlignment="1">
      <alignment horizontal="center" vertical="center"/>
    </xf>
    <xf numFmtId="167" fontId="25" fillId="0" borderId="0" xfId="0" applyNumberFormat="1" applyFont="1" applyBorder="1" applyAlignment="1">
      <alignment horizontal="center" vertical="center"/>
    </xf>
    <xf numFmtId="0" fontId="9" fillId="23" borderId="28" xfId="0" applyFont="1" applyFill="1" applyBorder="1" applyAlignment="1">
      <alignment horizontal="center" vertical="center"/>
    </xf>
    <xf numFmtId="0" fontId="9" fillId="23" borderId="1" xfId="0" applyFont="1" applyFill="1" applyBorder="1" applyAlignment="1">
      <alignment horizontal="center" vertical="center"/>
    </xf>
    <xf numFmtId="0" fontId="9" fillId="23" borderId="30" xfId="0" applyFont="1" applyFill="1" applyBorder="1" applyAlignment="1">
      <alignment horizontal="center" vertical="center"/>
    </xf>
    <xf numFmtId="0" fontId="9" fillId="23" borderId="6" xfId="0" applyFont="1" applyFill="1" applyBorder="1" applyAlignment="1">
      <alignment horizontal="center" vertical="center"/>
    </xf>
    <xf numFmtId="0" fontId="73" fillId="0" borderId="0" xfId="0" applyFont="1" applyAlignment="1">
      <alignment vertical="center"/>
    </xf>
    <xf numFmtId="0" fontId="0" fillId="0" borderId="0" xfId="0" applyAlignment="1">
      <alignment vertical="center"/>
    </xf>
    <xf numFmtId="3" fontId="26" fillId="0" borderId="4" xfId="0" applyNumberFormat="1" applyFont="1" applyFill="1" applyBorder="1" applyAlignment="1">
      <alignment horizontal="center" vertical="center" wrapText="1"/>
    </xf>
    <xf numFmtId="0" fontId="9" fillId="0" borderId="0" xfId="0" applyFont="1" applyAlignment="1">
      <alignment horizontal="center" vertical="center" wrapText="1"/>
    </xf>
    <xf numFmtId="0" fontId="34" fillId="0" borderId="0" xfId="0" applyFont="1" applyAlignment="1">
      <alignment horizontal="center"/>
    </xf>
    <xf numFmtId="0" fontId="9" fillId="6" borderId="17" xfId="0" applyFont="1" applyFill="1" applyBorder="1" applyAlignment="1">
      <alignment horizontal="center" vertical="center"/>
    </xf>
    <xf numFmtId="0" fontId="9" fillId="6" borderId="24" xfId="0" applyFont="1" applyFill="1" applyBorder="1" applyAlignment="1">
      <alignment horizontal="center" vertical="center"/>
    </xf>
    <xf numFmtId="2" fontId="26" fillId="0" borderId="16" xfId="0" applyNumberFormat="1" applyFont="1" applyBorder="1" applyAlignment="1">
      <alignment horizontal="center" vertical="center"/>
    </xf>
    <xf numFmtId="1" fontId="2" fillId="0" borderId="0" xfId="0" applyNumberFormat="1" applyFont="1" applyFill="1" applyAlignment="1"/>
    <xf numFmtId="193" fontId="24" fillId="0" borderId="0" xfId="0" applyNumberFormat="1" applyFont="1" applyAlignment="1">
      <alignment vertical="top"/>
    </xf>
    <xf numFmtId="0" fontId="11" fillId="15" borderId="42" xfId="0" applyFont="1" applyFill="1" applyBorder="1" applyAlignment="1">
      <alignment vertical="center"/>
    </xf>
    <xf numFmtId="0" fontId="11" fillId="15" borderId="60" xfId="0" applyFont="1" applyFill="1" applyBorder="1" applyAlignment="1">
      <alignment vertical="center"/>
    </xf>
    <xf numFmtId="0" fontId="11" fillId="15" borderId="44" xfId="0" applyFont="1" applyFill="1" applyBorder="1" applyAlignment="1">
      <alignment vertical="center"/>
    </xf>
    <xf numFmtId="0" fontId="15" fillId="23" borderId="66" xfId="0" applyFont="1" applyFill="1" applyBorder="1" applyAlignment="1">
      <alignment vertical="center"/>
    </xf>
    <xf numFmtId="0" fontId="36" fillId="23" borderId="43" xfId="0" applyFont="1" applyFill="1" applyBorder="1" applyAlignment="1">
      <alignment horizontal="center" vertical="center"/>
    </xf>
    <xf numFmtId="0" fontId="11" fillId="13" borderId="43" xfId="0" applyFont="1" applyFill="1" applyBorder="1" applyAlignment="1">
      <alignment vertical="center"/>
    </xf>
    <xf numFmtId="0" fontId="11" fillId="19" borderId="63" xfId="0" applyFont="1" applyFill="1" applyBorder="1" applyAlignment="1">
      <alignment horizontal="center" vertical="center"/>
    </xf>
    <xf numFmtId="0" fontId="11" fillId="19" borderId="62" xfId="0" applyFont="1" applyFill="1" applyBorder="1" applyAlignment="1">
      <alignment horizontal="center" vertical="center"/>
    </xf>
    <xf numFmtId="0" fontId="11" fillId="13" borderId="59" xfId="0" applyFont="1" applyFill="1" applyBorder="1" applyAlignment="1">
      <alignment horizontal="center" vertical="center"/>
    </xf>
    <xf numFmtId="1" fontId="11" fillId="0" borderId="15" xfId="0" applyNumberFormat="1" applyFont="1" applyBorder="1" applyAlignment="1">
      <alignment horizontal="center" vertical="center"/>
    </xf>
    <xf numFmtId="0" fontId="11" fillId="13" borderId="47" xfId="0" applyFont="1" applyFill="1" applyBorder="1" applyAlignment="1">
      <alignment vertical="center"/>
    </xf>
    <xf numFmtId="1" fontId="11" fillId="0" borderId="61" xfId="0" applyNumberFormat="1" applyFont="1" applyBorder="1" applyAlignment="1">
      <alignment horizontal="center" vertical="center"/>
    </xf>
    <xf numFmtId="0" fontId="11" fillId="13" borderId="59" xfId="0" applyFont="1" applyFill="1" applyBorder="1" applyAlignment="1">
      <alignment vertical="center"/>
    </xf>
    <xf numFmtId="2" fontId="11" fillId="22" borderId="15" xfId="0" applyNumberFormat="1" applyFont="1" applyFill="1" applyBorder="1" applyAlignment="1">
      <alignment horizontal="center" vertical="center"/>
    </xf>
    <xf numFmtId="2" fontId="11" fillId="22" borderId="61" xfId="0" applyNumberFormat="1" applyFont="1" applyFill="1" applyBorder="1" applyAlignment="1">
      <alignment horizontal="center" vertical="center"/>
    </xf>
    <xf numFmtId="1" fontId="11" fillId="13" borderId="59" xfId="0" applyNumberFormat="1" applyFont="1" applyFill="1" applyBorder="1" applyAlignment="1">
      <alignment vertical="center"/>
    </xf>
    <xf numFmtId="0" fontId="11" fillId="13" borderId="57" xfId="0" applyFont="1" applyFill="1" applyBorder="1" applyAlignment="1">
      <alignment horizontal="center" vertical="center"/>
    </xf>
    <xf numFmtId="0" fontId="24" fillId="25" borderId="4" xfId="0" applyFont="1" applyFill="1" applyBorder="1" applyAlignment="1">
      <alignment horizontal="center" vertical="center" wrapText="1"/>
    </xf>
    <xf numFmtId="2" fontId="24" fillId="0" borderId="4" xfId="0" applyNumberFormat="1" applyFont="1" applyFill="1" applyBorder="1" applyAlignment="1">
      <alignment horizontal="center" vertical="center" wrapText="1"/>
    </xf>
    <xf numFmtId="2" fontId="2" fillId="0" borderId="0" xfId="0" applyNumberFormat="1" applyFont="1" applyFill="1" applyAlignment="1">
      <alignment horizontal="center"/>
    </xf>
    <xf numFmtId="2" fontId="25" fillId="0" borderId="0" xfId="0" applyNumberFormat="1" applyFont="1" applyFill="1" applyAlignment="1">
      <alignment horizontal="center"/>
    </xf>
    <xf numFmtId="2" fontId="74" fillId="0" borderId="0" xfId="0" applyNumberFormat="1" applyFont="1" applyFill="1" applyAlignment="1">
      <alignment horizontal="center"/>
    </xf>
    <xf numFmtId="2" fontId="32" fillId="0" borderId="0" xfId="0" applyNumberFormat="1" applyFont="1" applyAlignment="1">
      <alignment horizontal="right" vertical="center"/>
    </xf>
    <xf numFmtId="173" fontId="2" fillId="0" borderId="0" xfId="0" applyNumberFormat="1" applyFont="1" applyAlignment="1">
      <alignment horizontal="left" vertical="center"/>
    </xf>
    <xf numFmtId="0" fontId="79" fillId="0" borderId="0" xfId="0" applyFont="1" applyFill="1" applyBorder="1" applyAlignment="1">
      <alignment vertical="center"/>
    </xf>
    <xf numFmtId="0" fontId="2" fillId="0" borderId="0" xfId="0" quotePrefix="1" applyFont="1" applyFill="1" applyAlignment="1">
      <alignment horizontal="center" vertical="top"/>
    </xf>
    <xf numFmtId="1" fontId="2" fillId="22" borderId="14" xfId="0" applyNumberFormat="1" applyFont="1" applyFill="1" applyBorder="1" applyAlignment="1">
      <alignment vertical="center" wrapText="1"/>
    </xf>
    <xf numFmtId="1" fontId="2" fillId="22" borderId="15" xfId="0" applyNumberFormat="1" applyFont="1" applyFill="1" applyBorder="1" applyAlignment="1">
      <alignment vertical="center" wrapText="1"/>
    </xf>
    <xf numFmtId="3" fontId="26" fillId="22" borderId="30" xfId="0" applyNumberFormat="1" applyFont="1" applyFill="1" applyBorder="1" applyAlignment="1">
      <alignment horizontal="center" vertical="center" wrapText="1"/>
    </xf>
    <xf numFmtId="3" fontId="26" fillId="22" borderId="13" xfId="0" applyNumberFormat="1" applyFont="1" applyFill="1" applyBorder="1" applyAlignment="1">
      <alignment horizontal="center" vertical="center" wrapText="1"/>
    </xf>
    <xf numFmtId="3" fontId="26" fillId="22" borderId="14" xfId="0" applyNumberFormat="1" applyFont="1" applyFill="1" applyBorder="1" applyAlignment="1">
      <alignment horizontal="center" vertical="center" wrapText="1"/>
    </xf>
    <xf numFmtId="0" fontId="9" fillId="0" borderId="4" xfId="0" applyFont="1" applyBorder="1" applyAlignment="1">
      <alignment horizontal="center" vertical="center"/>
    </xf>
    <xf numFmtId="0" fontId="93" fillId="20" borderId="0" xfId="0" applyFont="1" applyFill="1" applyBorder="1" applyAlignment="1">
      <alignment horizontal="center" vertical="center"/>
    </xf>
    <xf numFmtId="0" fontId="93" fillId="0" borderId="0" xfId="0" applyFont="1" applyFill="1" applyBorder="1" applyAlignment="1">
      <alignment horizontal="center" vertical="center"/>
    </xf>
    <xf numFmtId="0" fontId="35" fillId="22" borderId="4" xfId="0" applyFont="1" applyFill="1" applyBorder="1" applyAlignment="1">
      <alignment horizontal="center" vertical="center" wrapText="1"/>
    </xf>
    <xf numFmtId="167" fontId="35" fillId="22" borderId="4" xfId="0" applyNumberFormat="1" applyFont="1" applyFill="1" applyBorder="1" applyAlignment="1">
      <alignment horizontal="center" vertical="center" wrapText="1"/>
    </xf>
    <xf numFmtId="2" fontId="35" fillId="22" borderId="4" xfId="0" applyNumberFormat="1" applyFont="1" applyFill="1" applyBorder="1" applyAlignment="1">
      <alignment horizontal="center" vertical="center" wrapText="1"/>
    </xf>
    <xf numFmtId="0" fontId="27" fillId="0" borderId="0" xfId="0" applyFont="1" applyAlignment="1">
      <alignment horizontal="center" vertical="center" wrapText="1"/>
    </xf>
    <xf numFmtId="0" fontId="27" fillId="16" borderId="4" xfId="0" applyFont="1" applyFill="1" applyBorder="1" applyAlignment="1">
      <alignment horizontal="center" vertical="center" wrapText="1"/>
    </xf>
    <xf numFmtId="3" fontId="27" fillId="21" borderId="4" xfId="0" applyNumberFormat="1" applyFont="1" applyFill="1" applyBorder="1" applyAlignment="1">
      <alignment horizontal="center" vertical="center"/>
    </xf>
    <xf numFmtId="2" fontId="27" fillId="16" borderId="4" xfId="0" applyNumberFormat="1" applyFont="1" applyFill="1" applyBorder="1" applyAlignment="1">
      <alignment horizontal="center" vertical="center" wrapText="1"/>
    </xf>
    <xf numFmtId="1" fontId="27" fillId="16" borderId="4" xfId="0" applyNumberFormat="1" applyFont="1" applyFill="1" applyBorder="1" applyAlignment="1">
      <alignment horizontal="center" vertical="center" wrapText="1"/>
    </xf>
    <xf numFmtId="3" fontId="35" fillId="16" borderId="4" xfId="0" applyNumberFormat="1" applyFont="1" applyFill="1" applyBorder="1" applyAlignment="1">
      <alignment horizontal="center" vertical="center"/>
    </xf>
    <xf numFmtId="3" fontId="27" fillId="16" borderId="4" xfId="0" applyNumberFormat="1" applyFont="1" applyFill="1" applyBorder="1" applyAlignment="1">
      <alignment horizontal="center" vertical="center"/>
    </xf>
    <xf numFmtId="2" fontId="35" fillId="16" borderId="4" xfId="0" applyNumberFormat="1" applyFont="1" applyFill="1" applyBorder="1" applyAlignment="1">
      <alignment horizontal="center" vertical="center" wrapText="1"/>
    </xf>
    <xf numFmtId="2" fontId="35" fillId="16" borderId="4" xfId="0" applyNumberFormat="1" applyFont="1" applyFill="1" applyBorder="1" applyAlignment="1">
      <alignment horizontal="center" vertical="center"/>
    </xf>
    <xf numFmtId="4" fontId="35" fillId="16" borderId="4" xfId="0" applyNumberFormat="1" applyFont="1" applyFill="1" applyBorder="1" applyAlignment="1">
      <alignment horizontal="center" vertical="center"/>
    </xf>
    <xf numFmtId="1" fontId="27" fillId="14" borderId="4" xfId="0" applyNumberFormat="1" applyFont="1" applyFill="1" applyBorder="1" applyAlignment="1">
      <alignment horizontal="center" vertical="center" wrapText="1"/>
    </xf>
    <xf numFmtId="2" fontId="35" fillId="17" borderId="4" xfId="0" applyNumberFormat="1" applyFont="1" applyFill="1" applyBorder="1" applyAlignment="1">
      <alignment horizontal="center" vertical="center" wrapText="1"/>
    </xf>
    <xf numFmtId="167" fontId="35" fillId="16" borderId="4" xfId="0" applyNumberFormat="1" applyFont="1" applyFill="1" applyBorder="1" applyAlignment="1">
      <alignment horizontal="center" vertical="center" wrapText="1"/>
    </xf>
    <xf numFmtId="2" fontId="35" fillId="0" borderId="42" xfId="0" applyNumberFormat="1" applyFont="1" applyBorder="1" applyAlignment="1">
      <alignment horizontal="center" vertical="center"/>
    </xf>
    <xf numFmtId="2" fontId="35" fillId="0" borderId="44" xfId="0" applyNumberFormat="1" applyFont="1" applyBorder="1" applyAlignment="1">
      <alignment horizontal="center" vertical="center"/>
    </xf>
    <xf numFmtId="187" fontId="35" fillId="16" borderId="4" xfId="0" applyNumberFormat="1" applyFont="1" applyFill="1" applyBorder="1" applyAlignment="1">
      <alignment horizontal="center" vertical="center"/>
    </xf>
    <xf numFmtId="0" fontId="95" fillId="0" borderId="0" xfId="0" applyFont="1" applyFill="1" applyAlignment="1">
      <alignment horizontal="center" vertical="center"/>
    </xf>
    <xf numFmtId="2" fontId="95" fillId="22" borderId="4" xfId="0" applyNumberFormat="1" applyFont="1" applyFill="1" applyBorder="1" applyAlignment="1">
      <alignment horizontal="center" vertical="center"/>
    </xf>
    <xf numFmtId="167" fontId="95" fillId="22" borderId="4" xfId="0" applyNumberFormat="1" applyFont="1" applyFill="1" applyBorder="1" applyAlignment="1">
      <alignment horizontal="center" vertical="center"/>
    </xf>
    <xf numFmtId="166" fontId="67" fillId="0" borderId="0" xfId="0" applyNumberFormat="1" applyFont="1" applyFill="1" applyAlignment="1">
      <alignment horizontal="center" vertical="center"/>
    </xf>
    <xf numFmtId="0" fontId="27" fillId="0" borderId="0" xfId="0" applyFont="1" applyFill="1" applyAlignment="1">
      <alignment horizontal="center" vertical="center" wrapText="1"/>
    </xf>
    <xf numFmtId="0" fontId="67" fillId="0" borderId="0" xfId="0" applyFont="1" applyFill="1" applyAlignment="1">
      <alignment horizontal="center" vertical="center"/>
    </xf>
    <xf numFmtId="167" fontId="35" fillId="0" borderId="0" xfId="0" applyNumberFormat="1" applyFont="1" applyFill="1" applyAlignment="1">
      <alignment horizontal="center" vertical="center" wrapText="1"/>
    </xf>
    <xf numFmtId="1" fontId="27" fillId="0" borderId="0" xfId="0" applyNumberFormat="1" applyFont="1" applyFill="1" applyAlignment="1">
      <alignment horizontal="center" vertical="center" wrapText="1"/>
    </xf>
    <xf numFmtId="0" fontId="27" fillId="22" borderId="28" xfId="0" applyFont="1" applyFill="1" applyBorder="1" applyAlignment="1">
      <alignment horizontal="center" vertical="center" wrapText="1"/>
    </xf>
    <xf numFmtId="0" fontId="27" fillId="22" borderId="4" xfId="0" applyFont="1" applyFill="1" applyBorder="1" applyAlignment="1">
      <alignment horizontal="center" vertical="center" wrapText="1"/>
    </xf>
    <xf numFmtId="0" fontId="35" fillId="0" borderId="4" xfId="0" applyFont="1" applyBorder="1" applyAlignment="1">
      <alignment horizontal="center" vertical="center" wrapText="1"/>
    </xf>
    <xf numFmtId="2" fontId="35" fillId="0" borderId="4" xfId="0" applyNumberFormat="1" applyFont="1" applyBorder="1" applyAlignment="1">
      <alignment horizontal="center" vertical="center" wrapText="1"/>
    </xf>
    <xf numFmtId="1" fontId="35" fillId="0" borderId="4" xfId="0" applyNumberFormat="1" applyFont="1" applyBorder="1" applyAlignment="1">
      <alignment horizontal="center" vertical="center" wrapText="1"/>
    </xf>
    <xf numFmtId="167" fontId="35" fillId="5" borderId="4" xfId="0" applyNumberFormat="1" applyFont="1" applyFill="1" applyBorder="1" applyAlignment="1">
      <alignment horizontal="center" vertical="center" wrapText="1"/>
    </xf>
    <xf numFmtId="2" fontId="35" fillId="26" borderId="13" xfId="0" applyNumberFormat="1" applyFont="1" applyFill="1" applyBorder="1" applyAlignment="1">
      <alignment horizontal="center" vertical="center" wrapText="1"/>
    </xf>
    <xf numFmtId="2" fontId="35" fillId="5" borderId="4" xfId="0" applyNumberFormat="1" applyFont="1" applyFill="1" applyBorder="1" applyAlignment="1">
      <alignment horizontal="center" vertical="center" wrapText="1"/>
    </xf>
    <xf numFmtId="2" fontId="35" fillId="0" borderId="4" xfId="0" applyNumberFormat="1" applyFont="1" applyBorder="1" applyAlignment="1">
      <alignment horizontal="center" vertical="center"/>
    </xf>
    <xf numFmtId="2" fontId="98" fillId="24" borderId="4" xfId="0" applyNumberFormat="1" applyFont="1" applyFill="1" applyBorder="1" applyAlignment="1">
      <alignment horizontal="center" vertical="center" wrapText="1"/>
    </xf>
    <xf numFmtId="4" fontId="24" fillId="0" borderId="4" xfId="0" applyNumberFormat="1" applyFont="1" applyFill="1" applyBorder="1" applyAlignment="1">
      <alignment horizontal="center" vertical="center" wrapText="1"/>
    </xf>
    <xf numFmtId="3" fontId="24" fillId="0" borderId="4" xfId="0" applyNumberFormat="1" applyFont="1" applyFill="1" applyBorder="1" applyAlignment="1">
      <alignment horizontal="center" vertical="center" wrapText="1"/>
    </xf>
    <xf numFmtId="4" fontId="99" fillId="0" borderId="4" xfId="0" applyNumberFormat="1" applyFont="1" applyFill="1" applyBorder="1" applyAlignment="1">
      <alignment horizontal="center" vertical="center" wrapText="1"/>
    </xf>
    <xf numFmtId="0" fontId="25" fillId="0" borderId="13" xfId="0" applyFont="1" applyFill="1" applyBorder="1" applyAlignment="1">
      <alignment horizontal="center"/>
    </xf>
    <xf numFmtId="0" fontId="25" fillId="0" borderId="14" xfId="0" applyFont="1" applyFill="1" applyBorder="1"/>
    <xf numFmtId="0" fontId="16" fillId="0" borderId="14" xfId="0" applyFont="1" applyFill="1" applyBorder="1"/>
    <xf numFmtId="0" fontId="16" fillId="0" borderId="15" xfId="0" applyFont="1" applyFill="1" applyBorder="1"/>
    <xf numFmtId="0" fontId="11" fillId="0" borderId="61" xfId="0" applyFont="1" applyBorder="1" applyAlignment="1">
      <alignment horizontal="center" vertical="center"/>
    </xf>
    <xf numFmtId="0" fontId="36" fillId="23" borderId="64" xfId="0" applyFont="1" applyFill="1" applyBorder="1" applyAlignment="1">
      <alignment horizontal="center" vertical="center"/>
    </xf>
    <xf numFmtId="2" fontId="2" fillId="0" borderId="4" xfId="0" applyNumberFormat="1" applyFont="1" applyBorder="1" applyAlignment="1">
      <alignment horizontal="center" vertical="center"/>
    </xf>
    <xf numFmtId="2" fontId="2" fillId="5" borderId="30" xfId="0" applyNumberFormat="1" applyFont="1" applyFill="1" applyBorder="1" applyAlignment="1">
      <alignment horizontal="center" vertical="center"/>
    </xf>
    <xf numFmtId="0" fontId="27" fillId="0" borderId="4" xfId="0" applyFont="1" applyFill="1" applyBorder="1" applyAlignment="1">
      <alignment horizontal="center" vertical="center" wrapText="1"/>
    </xf>
    <xf numFmtId="0" fontId="35" fillId="0" borderId="0" xfId="0" applyFont="1" applyFill="1" applyAlignment="1">
      <alignment horizontal="left" vertical="center"/>
    </xf>
    <xf numFmtId="0" fontId="11" fillId="19" borderId="79" xfId="0" applyFont="1" applyFill="1" applyBorder="1" applyAlignment="1">
      <alignment horizontal="center" vertical="center"/>
    </xf>
    <xf numFmtId="2" fontId="11" fillId="0" borderId="61" xfId="0" applyNumberFormat="1" applyFont="1" applyBorder="1" applyAlignment="1">
      <alignment horizontal="center" vertical="center"/>
    </xf>
    <xf numFmtId="49" fontId="11" fillId="0" borderId="80" xfId="0" applyNumberFormat="1" applyFont="1" applyBorder="1" applyAlignment="1">
      <alignment horizontal="center" vertical="center"/>
    </xf>
    <xf numFmtId="2" fontId="26" fillId="0" borderId="0" xfId="0" applyNumberFormat="1" applyFont="1" applyAlignment="1">
      <alignment vertical="center"/>
    </xf>
    <xf numFmtId="0" fontId="24" fillId="0" borderId="0" xfId="0" applyFont="1" applyAlignment="1">
      <alignment horizontal="left" vertical="center" wrapText="1"/>
    </xf>
    <xf numFmtId="166" fontId="2" fillId="0" borderId="0" xfId="0" applyNumberFormat="1" applyFont="1" applyBorder="1" applyAlignment="1">
      <alignment horizontal="center" vertical="center"/>
    </xf>
    <xf numFmtId="2" fontId="2" fillId="0" borderId="0" xfId="0" applyNumberFormat="1" applyFont="1" applyBorder="1" applyAlignment="1">
      <alignment horizontal="center" vertical="center" wrapText="1"/>
    </xf>
    <xf numFmtId="2" fontId="2" fillId="0" borderId="28" xfId="0" applyNumberFormat="1" applyFont="1" applyBorder="1" applyAlignment="1">
      <alignment horizontal="center" vertical="center" wrapText="1"/>
    </xf>
    <xf numFmtId="0" fontId="9" fillId="20" borderId="4" xfId="0" applyFont="1" applyFill="1" applyBorder="1" applyAlignment="1">
      <alignment horizontal="center" vertical="center" wrapText="1"/>
    </xf>
    <xf numFmtId="0" fontId="2" fillId="0" borderId="4" xfId="0" applyFont="1" applyFill="1" applyBorder="1" applyAlignment="1">
      <alignment horizontal="center" vertical="center"/>
    </xf>
    <xf numFmtId="0" fontId="11" fillId="0" borderId="0" xfId="0" applyFont="1" applyAlignment="1">
      <alignment horizontal="center" vertical="center"/>
    </xf>
    <xf numFmtId="0" fontId="32" fillId="0" borderId="0" xfId="0" applyFont="1" applyAlignment="1"/>
    <xf numFmtId="0" fontId="35" fillId="0" borderId="0" xfId="0" applyFont="1" applyAlignment="1"/>
    <xf numFmtId="2" fontId="2" fillId="0" borderId="0" xfId="0" applyNumberFormat="1" applyFont="1" applyAlignment="1"/>
    <xf numFmtId="173" fontId="2" fillId="0" borderId="0" xfId="0" applyNumberFormat="1" applyFont="1" applyAlignment="1"/>
    <xf numFmtId="9" fontId="101" fillId="0" borderId="4" xfId="0" applyNumberFormat="1" applyFont="1" applyFill="1" applyBorder="1" applyAlignment="1">
      <alignment horizontal="center" vertical="center"/>
    </xf>
    <xf numFmtId="2" fontId="9" fillId="0" borderId="4" xfId="0" applyNumberFormat="1" applyFont="1" applyFill="1" applyBorder="1" applyAlignment="1">
      <alignment horizontal="center" vertical="center"/>
    </xf>
    <xf numFmtId="2" fontId="2" fillId="0" borderId="4" xfId="0" applyNumberFormat="1" applyFont="1" applyBorder="1" applyAlignment="1">
      <alignment horizontal="center" vertical="center"/>
    </xf>
    <xf numFmtId="0" fontId="67" fillId="0" borderId="0" xfId="0" applyFont="1" applyFill="1" applyBorder="1" applyAlignment="1">
      <alignment horizontal="center" vertical="center"/>
    </xf>
    <xf numFmtId="0" fontId="35" fillId="0" borderId="0" xfId="0" applyFont="1" applyFill="1" applyBorder="1" applyAlignment="1">
      <alignment horizontal="center" vertical="center"/>
    </xf>
    <xf numFmtId="0" fontId="67" fillId="0" borderId="0" xfId="0" applyFont="1" applyAlignment="1">
      <alignment horizontal="center"/>
    </xf>
    <xf numFmtId="0" fontId="67" fillId="16" borderId="0" xfId="0" applyFont="1" applyFill="1" applyAlignment="1">
      <alignment horizontal="center"/>
    </xf>
    <xf numFmtId="0" fontId="67" fillId="0" borderId="0" xfId="0" applyFont="1" applyFill="1" applyAlignment="1">
      <alignment horizontal="center"/>
    </xf>
    <xf numFmtId="2" fontId="35" fillId="21" borderId="4" xfId="0" applyNumberFormat="1" applyFont="1" applyFill="1" applyBorder="1" applyAlignment="1">
      <alignment horizontal="center" vertical="center"/>
    </xf>
    <xf numFmtId="0" fontId="35" fillId="20" borderId="0" xfId="0" applyFont="1" applyFill="1" applyBorder="1" applyAlignment="1">
      <alignment horizontal="center" vertical="center"/>
    </xf>
    <xf numFmtId="0" fontId="67" fillId="20" borderId="0" xfId="0" applyFont="1" applyFill="1" applyBorder="1" applyAlignment="1">
      <alignment horizontal="center" vertical="center"/>
    </xf>
    <xf numFmtId="0" fontId="93" fillId="0" borderId="0" xfId="0" applyFont="1" applyFill="1" applyBorder="1" applyAlignment="1">
      <alignment horizontal="center"/>
    </xf>
    <xf numFmtId="0" fontId="93" fillId="0" borderId="7" xfId="0" applyFont="1" applyFill="1" applyBorder="1" applyAlignment="1">
      <alignment horizontal="center"/>
    </xf>
    <xf numFmtId="178" fontId="34" fillId="0" borderId="0" xfId="0" applyNumberFormat="1" applyFont="1" applyAlignment="1">
      <alignment horizontal="left" vertical="center" wrapText="1"/>
    </xf>
    <xf numFmtId="0" fontId="35" fillId="5" borderId="0" xfId="5" applyFont="1" applyFill="1"/>
    <xf numFmtId="0" fontId="103" fillId="0" borderId="0" xfId="5" applyFont="1" applyFill="1"/>
    <xf numFmtId="0" fontId="27" fillId="29" borderId="16" xfId="5" applyFont="1" applyFill="1" applyBorder="1" applyAlignment="1">
      <alignment horizontal="center"/>
    </xf>
    <xf numFmtId="0" fontId="102" fillId="30" borderId="16" xfId="5" applyFont="1" applyFill="1" applyBorder="1" applyAlignment="1">
      <alignment horizontal="left"/>
    </xf>
    <xf numFmtId="0" fontId="27" fillId="30" borderId="12" xfId="5" applyFont="1" applyFill="1" applyBorder="1" applyAlignment="1">
      <alignment horizontal="center"/>
    </xf>
    <xf numFmtId="0" fontId="35" fillId="0" borderId="16" xfId="5" applyFont="1" applyBorder="1" applyAlignment="1">
      <alignment horizontal="center" vertical="center"/>
    </xf>
    <xf numFmtId="0" fontId="102" fillId="30" borderId="16" xfId="5" applyFont="1" applyFill="1" applyBorder="1" applyAlignment="1">
      <alignment vertical="center"/>
    </xf>
    <xf numFmtId="2" fontId="27" fillId="5" borderId="16" xfId="5" applyNumberFormat="1" applyFont="1" applyFill="1" applyBorder="1" applyAlignment="1">
      <alignment horizontal="center"/>
    </xf>
    <xf numFmtId="1" fontId="35" fillId="5" borderId="16" xfId="5" applyNumberFormat="1" applyFont="1" applyFill="1" applyBorder="1" applyAlignment="1">
      <alignment horizontal="center"/>
    </xf>
    <xf numFmtId="0" fontId="35" fillId="5" borderId="17" xfId="5" applyFont="1" applyFill="1" applyBorder="1" applyAlignment="1">
      <alignment horizontal="center"/>
    </xf>
    <xf numFmtId="1" fontId="35" fillId="5" borderId="17" xfId="5" applyNumberFormat="1" applyFont="1" applyFill="1" applyBorder="1" applyAlignment="1">
      <alignment horizontal="center"/>
    </xf>
    <xf numFmtId="0" fontId="35" fillId="30" borderId="81" xfId="5" applyFont="1" applyFill="1" applyBorder="1"/>
    <xf numFmtId="2" fontId="27" fillId="5" borderId="82" xfId="5" applyNumberFormat="1" applyFont="1" applyFill="1" applyBorder="1" applyAlignment="1">
      <alignment horizontal="center"/>
    </xf>
    <xf numFmtId="1" fontId="35" fillId="5" borderId="83" xfId="5" applyNumberFormat="1" applyFont="1" applyFill="1" applyBorder="1" applyAlignment="1">
      <alignment horizontal="center"/>
    </xf>
    <xf numFmtId="0" fontId="35" fillId="30" borderId="12" xfId="5" applyFont="1" applyFill="1" applyBorder="1"/>
    <xf numFmtId="2" fontId="35" fillId="5" borderId="16" xfId="5" applyNumberFormat="1" applyFont="1" applyFill="1" applyBorder="1" applyAlignment="1">
      <alignment horizontal="center"/>
    </xf>
    <xf numFmtId="1" fontId="35" fillId="5" borderId="84" xfId="5" applyNumberFormat="1" applyFont="1" applyFill="1" applyBorder="1" applyAlignment="1">
      <alignment horizontal="center"/>
    </xf>
    <xf numFmtId="2" fontId="35" fillId="30" borderId="16" xfId="5" applyNumberFormat="1" applyFont="1" applyFill="1" applyBorder="1" applyAlignment="1">
      <alignment horizontal="center"/>
    </xf>
    <xf numFmtId="2" fontId="27" fillId="30" borderId="16" xfId="5" applyNumberFormat="1" applyFont="1" applyFill="1" applyBorder="1" applyAlignment="1">
      <alignment horizontal="center"/>
    </xf>
    <xf numFmtId="166" fontId="27" fillId="31" borderId="16" xfId="5" applyNumberFormat="1" applyFont="1" applyFill="1" applyBorder="1" applyAlignment="1">
      <alignment horizontal="center"/>
    </xf>
    <xf numFmtId="166" fontId="35" fillId="31" borderId="16" xfId="5" applyNumberFormat="1" applyFont="1" applyFill="1" applyBorder="1" applyAlignment="1">
      <alignment horizontal="center"/>
    </xf>
    <xf numFmtId="166" fontId="35" fillId="31" borderId="84" xfId="5" applyNumberFormat="1" applyFont="1" applyFill="1" applyBorder="1" applyAlignment="1">
      <alignment horizontal="center"/>
    </xf>
    <xf numFmtId="0" fontId="35" fillId="30" borderId="85" xfId="5" applyFont="1" applyFill="1" applyBorder="1"/>
    <xf numFmtId="1" fontId="35" fillId="5" borderId="86" xfId="5" applyNumberFormat="1" applyFont="1" applyFill="1" applyBorder="1" applyAlignment="1">
      <alignment horizontal="center"/>
    </xf>
    <xf numFmtId="1" fontId="35" fillId="5" borderId="87" xfId="5" applyNumberFormat="1" applyFont="1" applyFill="1" applyBorder="1" applyAlignment="1">
      <alignment horizontal="center"/>
    </xf>
    <xf numFmtId="0" fontId="35" fillId="30" borderId="82" xfId="5" applyFont="1" applyFill="1" applyBorder="1"/>
    <xf numFmtId="0" fontId="35" fillId="30" borderId="16" xfId="5" applyFont="1" applyFill="1" applyBorder="1"/>
    <xf numFmtId="166" fontId="27" fillId="31" borderId="16" xfId="5" applyNumberFormat="1" applyFont="1" applyFill="1" applyBorder="1" applyAlignment="1">
      <alignment horizontal="center" vertical="center"/>
    </xf>
    <xf numFmtId="166" fontId="35" fillId="31" borderId="16" xfId="5" applyNumberFormat="1" applyFont="1" applyFill="1" applyBorder="1" applyAlignment="1">
      <alignment horizontal="center" vertical="center"/>
    </xf>
    <xf numFmtId="166" fontId="35" fillId="5" borderId="84" xfId="5" applyNumberFormat="1" applyFont="1" applyFill="1" applyBorder="1" applyAlignment="1">
      <alignment horizontal="center"/>
    </xf>
    <xf numFmtId="0" fontId="35" fillId="30" borderId="86" xfId="5" applyFont="1" applyFill="1" applyBorder="1"/>
    <xf numFmtId="2" fontId="70" fillId="30" borderId="16" xfId="5" applyNumberFormat="1" applyFont="1" applyFill="1" applyBorder="1" applyAlignment="1">
      <alignment horizontal="center"/>
    </xf>
    <xf numFmtId="0" fontId="35" fillId="30" borderId="24" xfId="5" applyFont="1" applyFill="1" applyBorder="1"/>
    <xf numFmtId="2" fontId="27" fillId="5" borderId="24" xfId="5" applyNumberFormat="1" applyFont="1" applyFill="1" applyBorder="1" applyAlignment="1">
      <alignment horizontal="center"/>
    </xf>
    <xf numFmtId="1" fontId="35" fillId="5" borderId="92" xfId="5" applyNumberFormat="1" applyFont="1" applyFill="1" applyBorder="1" applyAlignment="1">
      <alignment horizontal="center"/>
    </xf>
    <xf numFmtId="1" fontId="35" fillId="5" borderId="93" xfId="5" applyNumberFormat="1" applyFont="1" applyFill="1" applyBorder="1" applyAlignment="1">
      <alignment horizontal="center"/>
    </xf>
    <xf numFmtId="166" fontId="35" fillId="5" borderId="93" xfId="5" applyNumberFormat="1" applyFont="1" applyFill="1" applyBorder="1" applyAlignment="1">
      <alignment horizontal="center"/>
    </xf>
    <xf numFmtId="0" fontId="35" fillId="30" borderId="17" xfId="5" applyFont="1" applyFill="1" applyBorder="1"/>
    <xf numFmtId="1" fontId="35" fillId="5" borderId="94" xfId="5" applyNumberFormat="1" applyFont="1" applyFill="1" applyBorder="1" applyAlignment="1">
      <alignment horizontal="center"/>
    </xf>
    <xf numFmtId="1" fontId="35" fillId="5" borderId="24" xfId="5" applyNumberFormat="1" applyFont="1" applyFill="1" applyBorder="1" applyAlignment="1">
      <alignment horizontal="center"/>
    </xf>
    <xf numFmtId="166" fontId="35" fillId="5" borderId="16" xfId="5" applyNumberFormat="1" applyFont="1" applyFill="1" applyBorder="1" applyAlignment="1">
      <alignment horizontal="center"/>
    </xf>
    <xf numFmtId="2" fontId="2" fillId="5" borderId="30" xfId="0" applyNumberFormat="1" applyFont="1" applyFill="1" applyBorder="1" applyAlignment="1">
      <alignment horizontal="center" vertical="center"/>
    </xf>
    <xf numFmtId="2" fontId="26" fillId="0" borderId="16" xfId="0" applyNumberFormat="1" applyFont="1" applyBorder="1" applyAlignment="1">
      <alignment horizontal="center" vertical="center"/>
    </xf>
    <xf numFmtId="0" fontId="9" fillId="6" borderId="17" xfId="0" applyFont="1" applyFill="1" applyBorder="1" applyAlignment="1">
      <alignment horizontal="center" vertical="center"/>
    </xf>
    <xf numFmtId="0" fontId="9" fillId="6" borderId="24" xfId="0" applyFont="1" applyFill="1" applyBorder="1" applyAlignment="1">
      <alignment horizontal="center" vertical="center"/>
    </xf>
    <xf numFmtId="197" fontId="74" fillId="0" borderId="0" xfId="0" applyNumberFormat="1" applyFont="1" applyFill="1" applyAlignment="1">
      <alignment horizontal="center"/>
    </xf>
    <xf numFmtId="170" fontId="2" fillId="0" borderId="16" xfId="0" applyNumberFormat="1" applyFont="1" applyBorder="1" applyAlignment="1">
      <alignment horizontal="center" vertical="center" wrapText="1"/>
    </xf>
    <xf numFmtId="0" fontId="24" fillId="5" borderId="0" xfId="0" applyFont="1" applyFill="1"/>
    <xf numFmtId="0" fontId="24" fillId="5" borderId="0" xfId="0" applyFont="1" applyFill="1" applyAlignment="1">
      <alignment horizontal="left"/>
    </xf>
    <xf numFmtId="2" fontId="13" fillId="5" borderId="0" xfId="0" applyNumberFormat="1" applyFont="1" applyFill="1" applyAlignment="1">
      <alignment horizontal="center"/>
    </xf>
    <xf numFmtId="0" fontId="24" fillId="5" borderId="0" xfId="0" applyFont="1" applyFill="1" applyAlignment="1">
      <alignment horizontal="left" vertical="center"/>
    </xf>
    <xf numFmtId="0" fontId="19" fillId="0" borderId="0" xfId="0" applyFont="1" applyFill="1" applyAlignment="1">
      <alignment vertical="center"/>
    </xf>
    <xf numFmtId="0" fontId="34" fillId="0" borderId="0" xfId="0" applyFont="1" applyFill="1" applyAlignment="1">
      <alignment horizontal="center" vertical="center"/>
    </xf>
    <xf numFmtId="0" fontId="25" fillId="0" borderId="0" xfId="0" applyFont="1" applyFill="1" applyAlignment="1">
      <alignment horizontal="center" vertical="center" wrapText="1"/>
    </xf>
    <xf numFmtId="2" fontId="2" fillId="0" borderId="0" xfId="0" applyNumberFormat="1" applyFont="1" applyFill="1" applyAlignment="1">
      <alignment horizontal="center" vertical="center" wrapText="1"/>
    </xf>
    <xf numFmtId="0" fontId="26" fillId="0" borderId="0" xfId="0" applyFont="1" applyFill="1" applyAlignment="1">
      <alignment vertical="center"/>
    </xf>
    <xf numFmtId="0" fontId="34" fillId="0" borderId="0" xfId="0" applyFont="1" applyFill="1" applyAlignment="1">
      <alignment vertical="center"/>
    </xf>
    <xf numFmtId="2" fontId="25" fillId="0" borderId="0" xfId="0" applyNumberFormat="1" applyFont="1" applyFill="1" applyAlignment="1">
      <alignment vertical="center" wrapText="1"/>
    </xf>
    <xf numFmtId="2" fontId="34" fillId="0" borderId="0" xfId="0" applyNumberFormat="1" applyFont="1" applyFill="1" applyAlignment="1">
      <alignment horizontal="center" vertical="center" wrapText="1"/>
    </xf>
    <xf numFmtId="0" fontId="34" fillId="0" borderId="0" xfId="0" applyFont="1" applyFill="1" applyAlignment="1">
      <alignment horizontal="left" vertical="center" wrapText="1"/>
    </xf>
    <xf numFmtId="1" fontId="9" fillId="0" borderId="0" xfId="0" applyNumberFormat="1" applyFont="1" applyFill="1" applyAlignment="1">
      <alignment horizontal="right" vertical="center"/>
    </xf>
    <xf numFmtId="2" fontId="34" fillId="0" borderId="0" xfId="0" applyNumberFormat="1" applyFont="1" applyFill="1" applyAlignment="1">
      <alignment horizontal="left" vertical="center" wrapText="1"/>
    </xf>
    <xf numFmtId="0" fontId="54" fillId="0" borderId="0" xfId="0" applyFont="1" applyFill="1" applyAlignment="1">
      <alignment horizontal="left" vertical="center" indent="5"/>
    </xf>
    <xf numFmtId="0" fontId="26" fillId="0" borderId="0" xfId="0" applyFont="1" applyFill="1" applyAlignment="1">
      <alignment horizontal="left"/>
    </xf>
    <xf numFmtId="0" fontId="9" fillId="0" borderId="0" xfId="0" applyFont="1" applyFill="1" applyAlignment="1">
      <alignment horizontal="center"/>
    </xf>
    <xf numFmtId="2" fontId="25" fillId="0" borderId="0" xfId="0" applyNumberFormat="1" applyFont="1" applyFill="1" applyAlignment="1">
      <alignment horizontal="center" wrapText="1"/>
    </xf>
    <xf numFmtId="0" fontId="25" fillId="0" borderId="0" xfId="0" applyFont="1" applyFill="1" applyAlignment="1">
      <alignment horizontal="center" wrapText="1"/>
    </xf>
    <xf numFmtId="176" fontId="34" fillId="0" borderId="0" xfId="0" applyNumberFormat="1" applyFont="1" applyFill="1" applyAlignment="1">
      <alignment horizontal="right" vertical="center" wrapText="1"/>
    </xf>
    <xf numFmtId="2" fontId="25" fillId="0" borderId="0" xfId="0" applyNumberFormat="1" applyFont="1" applyFill="1" applyAlignment="1">
      <alignment horizontal="right" vertical="center"/>
    </xf>
    <xf numFmtId="182" fontId="104" fillId="0" borderId="58" xfId="0" applyNumberFormat="1" applyFont="1" applyFill="1" applyBorder="1" applyAlignment="1">
      <alignment horizontal="center" vertical="center"/>
    </xf>
    <xf numFmtId="0" fontId="9" fillId="10" borderId="4" xfId="0" applyFont="1" applyFill="1" applyBorder="1" applyAlignment="1">
      <alignment horizontal="center" vertical="center"/>
    </xf>
    <xf numFmtId="190" fontId="2" fillId="0" borderId="0" xfId="0" applyNumberFormat="1" applyFont="1" applyFill="1" applyAlignment="1">
      <alignment horizontal="center" vertical="center"/>
    </xf>
    <xf numFmtId="176" fontId="34" fillId="0" borderId="0" xfId="0" applyNumberFormat="1" applyFont="1" applyFill="1" applyAlignment="1">
      <alignment horizontal="center" vertical="center" wrapText="1"/>
    </xf>
    <xf numFmtId="14" fontId="2" fillId="0" borderId="0" xfId="0" applyNumberFormat="1" applyFont="1" applyFill="1" applyAlignment="1">
      <alignment horizontal="center" vertical="center"/>
    </xf>
    <xf numFmtId="2" fontId="2" fillId="0" borderId="16" xfId="0" applyNumberFormat="1" applyFont="1" applyBorder="1" applyAlignment="1">
      <alignment horizontal="center" vertical="center"/>
    </xf>
    <xf numFmtId="2" fontId="26" fillId="0" borderId="16" xfId="0" applyNumberFormat="1" applyFont="1" applyBorder="1" applyAlignment="1">
      <alignment horizontal="center" vertical="center"/>
    </xf>
    <xf numFmtId="2" fontId="2" fillId="0" borderId="4" xfId="0" applyNumberFormat="1" applyFont="1" applyBorder="1" applyAlignment="1">
      <alignment horizontal="center" vertical="center"/>
    </xf>
    <xf numFmtId="0" fontId="9" fillId="0" borderId="4" xfId="0" applyFont="1" applyBorder="1" applyAlignment="1">
      <alignment horizontal="center" vertical="center"/>
    </xf>
    <xf numFmtId="0" fontId="9" fillId="0" borderId="4" xfId="0" applyFont="1" applyBorder="1" applyAlignment="1">
      <alignment horizontal="center" vertical="center"/>
    </xf>
    <xf numFmtId="0" fontId="9" fillId="0" borderId="4" xfId="0" applyFont="1" applyBorder="1" applyAlignment="1">
      <alignment horizontal="center" vertical="center"/>
    </xf>
    <xf numFmtId="3" fontId="67" fillId="0" borderId="0" xfId="0" applyNumberFormat="1" applyFont="1" applyFill="1" applyAlignment="1">
      <alignment horizontal="center" vertical="center"/>
    </xf>
    <xf numFmtId="2" fontId="11" fillId="0" borderId="15" xfId="0" applyNumberFormat="1" applyFont="1" applyBorder="1" applyAlignment="1">
      <alignment horizontal="center" vertical="center"/>
    </xf>
    <xf numFmtId="0" fontId="9" fillId="0" borderId="4" xfId="0" applyFont="1" applyBorder="1" applyAlignment="1">
      <alignment horizontal="center" vertical="center"/>
    </xf>
    <xf numFmtId="0" fontId="2" fillId="0" borderId="4" xfId="0" applyFont="1" applyFill="1" applyBorder="1" applyAlignment="1">
      <alignment horizontal="center" vertical="center"/>
    </xf>
    <xf numFmtId="2" fontId="12" fillId="0" borderId="4" xfId="0" applyNumberFormat="1" applyFont="1" applyFill="1" applyBorder="1" applyAlignment="1">
      <alignment horizontal="center" vertical="center" wrapText="1"/>
    </xf>
    <xf numFmtId="0" fontId="36" fillId="15" borderId="3" xfId="0" applyFont="1" applyFill="1" applyBorder="1" applyAlignment="1">
      <alignment horizontal="center" vertical="center"/>
    </xf>
    <xf numFmtId="0" fontId="36" fillId="15" borderId="8" xfId="0" applyFont="1" applyFill="1" applyBorder="1" applyAlignment="1">
      <alignment horizontal="center" vertical="center"/>
    </xf>
    <xf numFmtId="199" fontId="34" fillId="0" borderId="0" xfId="0" applyNumberFormat="1" applyFont="1" applyFill="1" applyAlignment="1">
      <alignment horizontal="left" vertical="center" wrapText="1"/>
    </xf>
    <xf numFmtId="199" fontId="34" fillId="0" borderId="0" xfId="0" applyNumberFormat="1" applyFont="1" applyFill="1" applyAlignment="1">
      <alignment wrapText="1"/>
    </xf>
    <xf numFmtId="2" fontId="2" fillId="0" borderId="16" xfId="0" applyNumberFormat="1" applyFont="1" applyBorder="1" applyAlignment="1">
      <alignment horizontal="center" vertical="center"/>
    </xf>
    <xf numFmtId="2" fontId="26" fillId="0" borderId="16" xfId="0" applyNumberFormat="1" applyFont="1" applyBorder="1" applyAlignment="1">
      <alignment horizontal="center" vertical="center"/>
    </xf>
    <xf numFmtId="0" fontId="2" fillId="0" borderId="4" xfId="0" applyFont="1" applyFill="1" applyBorder="1" applyAlignment="1">
      <alignment horizontal="center" vertical="center"/>
    </xf>
    <xf numFmtId="0" fontId="9" fillId="0" borderId="4" xfId="0" applyFont="1" applyBorder="1" applyAlignment="1">
      <alignment horizontal="center" vertical="center"/>
    </xf>
    <xf numFmtId="2" fontId="2" fillId="5" borderId="30" xfId="0" applyNumberFormat="1" applyFont="1" applyFill="1" applyBorder="1" applyAlignment="1">
      <alignment horizontal="center" vertical="center"/>
    </xf>
    <xf numFmtId="2" fontId="2" fillId="0" borderId="4" xfId="0" applyNumberFormat="1" applyFont="1" applyBorder="1" applyAlignment="1">
      <alignment horizontal="center" vertical="center"/>
    </xf>
    <xf numFmtId="0" fontId="24" fillId="12" borderId="4" xfId="0" applyFont="1" applyFill="1" applyBorder="1" applyAlignment="1">
      <alignment horizontal="center"/>
    </xf>
    <xf numFmtId="0" fontId="24" fillId="12" borderId="5" xfId="0" applyFont="1" applyFill="1" applyBorder="1" applyAlignment="1">
      <alignment horizontal="center"/>
    </xf>
    <xf numFmtId="0" fontId="24" fillId="12" borderId="0" xfId="0" applyFont="1" applyFill="1" applyAlignment="1">
      <alignment horizontal="center"/>
    </xf>
    <xf numFmtId="0" fontId="90" fillId="0" borderId="21" xfId="0" applyFont="1" applyBorder="1" applyAlignment="1">
      <alignment horizontal="center" vertical="center"/>
    </xf>
    <xf numFmtId="0" fontId="90" fillId="0" borderId="22" xfId="0" applyFont="1" applyBorder="1" applyAlignment="1">
      <alignment horizontal="center" vertical="center"/>
    </xf>
    <xf numFmtId="0" fontId="90" fillId="0" borderId="23" xfId="0" applyFont="1" applyBorder="1" applyAlignment="1">
      <alignment horizontal="center" vertical="center"/>
    </xf>
    <xf numFmtId="49" fontId="11" fillId="0" borderId="56" xfId="0" applyNumberFormat="1" applyFont="1" applyBorder="1" applyAlignment="1">
      <alignment horizontal="center" vertical="center"/>
    </xf>
    <xf numFmtId="49" fontId="11" fillId="0" borderId="54" xfId="0" applyNumberFormat="1" applyFont="1" applyBorder="1" applyAlignment="1">
      <alignment horizontal="center" vertical="center"/>
    </xf>
    <xf numFmtId="0" fontId="11" fillId="0" borderId="14" xfId="0" applyFont="1" applyBorder="1" applyAlignment="1">
      <alignment horizontal="center" vertical="center"/>
    </xf>
    <xf numFmtId="0" fontId="11" fillId="0" borderId="61" xfId="0" applyFont="1" applyBorder="1" applyAlignment="1">
      <alignment horizontal="center" vertical="center"/>
    </xf>
    <xf numFmtId="0" fontId="36" fillId="23" borderId="65" xfId="0" applyFont="1" applyFill="1" applyBorder="1" applyAlignment="1">
      <alignment horizontal="center" vertical="center"/>
    </xf>
    <xf numFmtId="0" fontId="36" fillId="23" borderId="64" xfId="0" applyFont="1" applyFill="1" applyBorder="1" applyAlignment="1">
      <alignment horizontal="center" vertical="center"/>
    </xf>
    <xf numFmtId="2" fontId="11" fillId="0" borderId="15" xfId="0" applyNumberFormat="1" applyFont="1" applyBorder="1" applyAlignment="1">
      <alignment horizontal="center" vertical="center"/>
    </xf>
    <xf numFmtId="2" fontId="11" fillId="0" borderId="58" xfId="0" applyNumberFormat="1" applyFont="1" applyBorder="1" applyAlignment="1">
      <alignment horizontal="center" vertical="center"/>
    </xf>
    <xf numFmtId="0" fontId="35" fillId="22" borderId="13" xfId="0" applyFont="1" applyFill="1" applyBorder="1" applyAlignment="1">
      <alignment horizontal="center" vertical="center" wrapText="1"/>
    </xf>
    <xf numFmtId="0" fontId="35" fillId="22" borderId="15" xfId="0" applyFont="1" applyFill="1" applyBorder="1" applyAlignment="1">
      <alignment horizontal="center" vertical="center" wrapText="1"/>
    </xf>
    <xf numFmtId="0" fontId="35" fillId="16" borderId="28" xfId="0" applyFont="1" applyFill="1" applyBorder="1" applyAlignment="1">
      <alignment horizontal="center" vertical="center" wrapText="1"/>
    </xf>
    <xf numFmtId="0" fontId="35" fillId="16" borderId="29" xfId="0" applyFont="1" applyFill="1" applyBorder="1" applyAlignment="1">
      <alignment horizontal="center" vertical="center" wrapText="1"/>
    </xf>
    <xf numFmtId="0" fontId="27" fillId="0" borderId="28" xfId="0" applyFont="1" applyBorder="1" applyAlignment="1">
      <alignment horizontal="center" vertical="center"/>
    </xf>
    <xf numFmtId="0" fontId="27" fillId="0" borderId="30" xfId="0" applyFont="1" applyBorder="1" applyAlignment="1">
      <alignment horizontal="center" vertical="center"/>
    </xf>
    <xf numFmtId="0" fontId="97" fillId="24" borderId="13" xfId="0" applyFont="1" applyFill="1" applyBorder="1" applyAlignment="1">
      <alignment horizontal="center" vertical="center" wrapText="1"/>
    </xf>
    <xf numFmtId="0" fontId="97" fillId="24" borderId="14" xfId="0" applyFont="1" applyFill="1" applyBorder="1" applyAlignment="1">
      <alignment horizontal="center" vertical="center" wrapText="1"/>
    </xf>
    <xf numFmtId="0" fontId="97" fillId="24" borderId="15" xfId="0" applyFont="1" applyFill="1" applyBorder="1" applyAlignment="1">
      <alignment horizontal="center" vertical="center" wrapText="1"/>
    </xf>
    <xf numFmtId="3" fontId="27" fillId="19" borderId="28" xfId="4" applyNumberFormat="1" applyFont="1" applyFill="1" applyBorder="1" applyAlignment="1">
      <alignment horizontal="center" vertical="center"/>
    </xf>
    <xf numFmtId="3" fontId="27" fillId="19" borderId="29" xfId="4" applyNumberFormat="1" applyFont="1" applyFill="1" applyBorder="1" applyAlignment="1">
      <alignment horizontal="center" vertical="center"/>
    </xf>
    <xf numFmtId="3" fontId="27" fillId="19" borderId="30" xfId="4" applyNumberFormat="1" applyFont="1" applyFill="1" applyBorder="1" applyAlignment="1">
      <alignment horizontal="center" vertical="center"/>
    </xf>
    <xf numFmtId="0" fontId="27" fillId="19" borderId="28" xfId="0" applyFont="1" applyFill="1" applyBorder="1" applyAlignment="1">
      <alignment horizontal="center" vertical="center" wrapText="1"/>
    </xf>
    <xf numFmtId="0" fontId="27" fillId="19" borderId="29" xfId="0" applyFont="1" applyFill="1" applyBorder="1" applyAlignment="1">
      <alignment horizontal="center" vertical="center" wrapText="1"/>
    </xf>
    <xf numFmtId="0" fontId="27" fillId="19" borderId="30" xfId="0" applyFont="1" applyFill="1" applyBorder="1" applyAlignment="1">
      <alignment horizontal="center" vertical="center" wrapText="1"/>
    </xf>
    <xf numFmtId="0" fontId="27" fillId="22" borderId="21" xfId="0" applyFont="1" applyFill="1" applyBorder="1" applyAlignment="1">
      <alignment horizontal="center" vertical="center" wrapText="1"/>
    </xf>
    <xf numFmtId="0" fontId="27" fillId="22" borderId="23" xfId="0" applyFont="1" applyFill="1" applyBorder="1" applyAlignment="1">
      <alignment horizontal="center" vertical="center" wrapText="1"/>
    </xf>
    <xf numFmtId="10" fontId="35" fillId="0" borderId="43" xfId="0" applyNumberFormat="1" applyFont="1" applyBorder="1" applyAlignment="1">
      <alignment horizontal="center" vertical="center"/>
    </xf>
    <xf numFmtId="10" fontId="35" fillId="0" borderId="41" xfId="0" applyNumberFormat="1" applyFont="1" applyBorder="1" applyAlignment="1">
      <alignment horizontal="center" vertical="center"/>
    </xf>
    <xf numFmtId="0" fontId="21" fillId="0" borderId="16" xfId="0" applyFont="1" applyBorder="1" applyAlignment="1">
      <alignment horizontal="center" vertical="center" wrapText="1"/>
    </xf>
    <xf numFmtId="2" fontId="2" fillId="0" borderId="16" xfId="0" applyNumberFormat="1" applyFont="1" applyBorder="1" applyAlignment="1">
      <alignment horizontal="center" vertical="center"/>
    </xf>
    <xf numFmtId="2" fontId="2" fillId="15" borderId="11" xfId="0" applyNumberFormat="1" applyFont="1" applyFill="1" applyBorder="1" applyAlignment="1">
      <alignment horizontal="center" vertical="center" wrapText="1"/>
    </xf>
    <xf numFmtId="2" fontId="2" fillId="15" borderId="12" xfId="0" applyNumberFormat="1" applyFont="1" applyFill="1" applyBorder="1" applyAlignment="1">
      <alignment horizontal="center" vertical="center" wrapText="1"/>
    </xf>
    <xf numFmtId="1" fontId="24" fillId="0" borderId="17" xfId="0" applyNumberFormat="1" applyFont="1" applyBorder="1" applyAlignment="1">
      <alignment horizontal="center" vertical="center"/>
    </xf>
    <xf numFmtId="1" fontId="24" fillId="0" borderId="24" xfId="0" applyNumberFormat="1" applyFont="1" applyBorder="1" applyAlignment="1">
      <alignment horizontal="center" vertical="center"/>
    </xf>
    <xf numFmtId="0" fontId="89" fillId="0" borderId="11" xfId="0" applyFont="1" applyBorder="1" applyAlignment="1">
      <alignment horizontal="center" vertical="center" wrapText="1"/>
    </xf>
    <xf numFmtId="0" fontId="89" fillId="0" borderId="12" xfId="0" applyFont="1" applyBorder="1" applyAlignment="1">
      <alignment horizontal="center" vertical="center" wrapText="1"/>
    </xf>
    <xf numFmtId="2" fontId="2" fillId="19" borderId="11" xfId="0" applyNumberFormat="1" applyFont="1" applyFill="1" applyBorder="1" applyAlignment="1">
      <alignment horizontal="center" vertical="center"/>
    </xf>
    <xf numFmtId="2" fontId="2" fillId="19" borderId="12" xfId="0" applyNumberFormat="1" applyFont="1" applyFill="1" applyBorder="1" applyAlignment="1">
      <alignment horizontal="center" vertical="center"/>
    </xf>
    <xf numFmtId="2" fontId="2" fillId="0" borderId="11" xfId="0" applyNumberFormat="1" applyFont="1" applyFill="1" applyBorder="1" applyAlignment="1">
      <alignment horizontal="center" vertical="center" wrapText="1"/>
    </xf>
    <xf numFmtId="2" fontId="2" fillId="0" borderId="12" xfId="0" applyNumberFormat="1" applyFont="1" applyFill="1" applyBorder="1" applyAlignment="1">
      <alignment horizontal="center" vertical="center" wrapText="1"/>
    </xf>
    <xf numFmtId="0" fontId="21" fillId="3" borderId="17" xfId="0" applyFont="1" applyFill="1" applyBorder="1" applyAlignment="1">
      <alignment horizontal="center" vertical="center" wrapText="1"/>
    </xf>
    <xf numFmtId="0" fontId="9" fillId="6" borderId="24" xfId="0" applyFont="1" applyFill="1" applyBorder="1" applyAlignment="1">
      <alignment horizontal="center" vertical="center"/>
    </xf>
    <xf numFmtId="0" fontId="31" fillId="0" borderId="0" xfId="0" applyFont="1" applyAlignment="1">
      <alignment horizontal="right" vertical="center"/>
    </xf>
    <xf numFmtId="0" fontId="34" fillId="0" borderId="11" xfId="0" applyFont="1" applyFill="1" applyBorder="1" applyAlignment="1">
      <alignment horizontal="center" vertical="center"/>
    </xf>
    <xf numFmtId="0" fontId="34" fillId="0" borderId="12" xfId="0" applyFont="1" applyFill="1" applyBorder="1" applyAlignment="1">
      <alignment horizontal="center" vertical="center"/>
    </xf>
    <xf numFmtId="0" fontId="21" fillId="6" borderId="11" xfId="0" applyFont="1" applyFill="1" applyBorder="1" applyAlignment="1">
      <alignment horizontal="center" vertical="center"/>
    </xf>
    <xf numFmtId="0" fontId="21" fillId="6" borderId="18" xfId="0" applyFont="1" applyFill="1" applyBorder="1" applyAlignment="1">
      <alignment horizontal="center" vertical="center"/>
    </xf>
    <xf numFmtId="0" fontId="21" fillId="6" borderId="12" xfId="0" applyFont="1" applyFill="1" applyBorder="1" applyAlignment="1">
      <alignment horizontal="center" vertical="center"/>
    </xf>
    <xf numFmtId="0" fontId="50" fillId="6" borderId="11" xfId="0" applyFont="1" applyFill="1" applyBorder="1" applyAlignment="1">
      <alignment horizontal="center" vertical="center"/>
    </xf>
    <xf numFmtId="0" fontId="50" fillId="6" borderId="18" xfId="0" applyFont="1" applyFill="1" applyBorder="1" applyAlignment="1">
      <alignment horizontal="center" vertical="center"/>
    </xf>
    <xf numFmtId="0" fontId="50" fillId="6" borderId="12" xfId="0" applyFont="1" applyFill="1" applyBorder="1" applyAlignment="1">
      <alignment horizontal="center" vertical="center"/>
    </xf>
    <xf numFmtId="0" fontId="14" fillId="0" borderId="0" xfId="0" applyFont="1" applyAlignment="1">
      <alignment horizontal="right" vertical="center"/>
    </xf>
    <xf numFmtId="0" fontId="9" fillId="0" borderId="0" xfId="0" applyFont="1" applyAlignment="1">
      <alignment horizontal="center" vertical="center" wrapText="1"/>
    </xf>
    <xf numFmtId="0" fontId="14" fillId="0" borderId="0" xfId="0" applyFont="1" applyAlignment="1">
      <alignment horizontal="right"/>
    </xf>
    <xf numFmtId="2" fontId="26" fillId="0" borderId="16" xfId="0" applyNumberFormat="1" applyFont="1" applyBorder="1" applyAlignment="1">
      <alignment horizontal="center" vertical="center"/>
    </xf>
    <xf numFmtId="0" fontId="9" fillId="6" borderId="16" xfId="0" applyFont="1" applyFill="1" applyBorder="1" applyAlignment="1">
      <alignment horizontal="center" vertical="center"/>
    </xf>
    <xf numFmtId="175" fontId="51" fillId="0" borderId="11" xfId="0" applyNumberFormat="1" applyFont="1" applyFill="1" applyBorder="1" applyAlignment="1">
      <alignment horizontal="center" vertical="center"/>
    </xf>
    <xf numFmtId="175" fontId="51" fillId="0" borderId="12" xfId="0" applyNumberFormat="1" applyFont="1" applyFill="1" applyBorder="1" applyAlignment="1">
      <alignment horizontal="center" vertical="center"/>
    </xf>
    <xf numFmtId="2" fontId="9" fillId="0" borderId="16" xfId="0" applyNumberFormat="1" applyFont="1" applyFill="1" applyBorder="1" applyAlignment="1">
      <alignment horizontal="center" vertical="center"/>
    </xf>
    <xf numFmtId="2" fontId="9" fillId="0" borderId="16" xfId="0" applyNumberFormat="1" applyFont="1" applyBorder="1" applyAlignment="1">
      <alignment horizontal="center" vertical="center"/>
    </xf>
    <xf numFmtId="0" fontId="21" fillId="0" borderId="0" xfId="0" applyFont="1" applyAlignment="1">
      <alignment horizontal="right"/>
    </xf>
    <xf numFmtId="0" fontId="9" fillId="6" borderId="17" xfId="0" applyFont="1" applyFill="1" applyBorder="1" applyAlignment="1">
      <alignment horizontal="center" vertical="center"/>
    </xf>
    <xf numFmtId="0" fontId="35" fillId="0" borderId="13" xfId="0" applyFont="1" applyBorder="1" applyAlignment="1">
      <alignment horizontal="left"/>
    </xf>
    <xf numFmtId="0" fontId="35" fillId="0" borderId="15" xfId="0" applyFont="1" applyBorder="1" applyAlignment="1">
      <alignment horizontal="left"/>
    </xf>
    <xf numFmtId="182" fontId="9" fillId="7" borderId="13" xfId="0" applyNumberFormat="1" applyFont="1" applyFill="1" applyBorder="1" applyAlignment="1">
      <alignment horizontal="left"/>
    </xf>
    <xf numFmtId="182" fontId="9" fillId="7" borderId="15" xfId="0" applyNumberFormat="1" applyFont="1" applyFill="1" applyBorder="1" applyAlignment="1">
      <alignment horizontal="left"/>
    </xf>
    <xf numFmtId="183" fontId="9" fillId="7" borderId="13" xfId="0" applyNumberFormat="1" applyFont="1" applyFill="1" applyBorder="1" applyAlignment="1">
      <alignment horizontal="left"/>
    </xf>
    <xf numFmtId="183" fontId="9" fillId="7" borderId="15" xfId="0" applyNumberFormat="1" applyFont="1" applyFill="1" applyBorder="1" applyAlignment="1">
      <alignment horizontal="left"/>
    </xf>
    <xf numFmtId="0" fontId="27" fillId="0" borderId="4" xfId="0" applyFont="1" applyBorder="1" applyAlignment="1">
      <alignment horizontal="left"/>
    </xf>
    <xf numFmtId="179" fontId="17" fillId="6" borderId="4" xfId="0" applyNumberFormat="1" applyFont="1" applyFill="1" applyBorder="1" applyAlignment="1">
      <alignment horizontal="left"/>
    </xf>
    <xf numFmtId="0" fontId="35" fillId="0" borderId="4" xfId="0" applyFont="1" applyBorder="1" applyAlignment="1">
      <alignment horizontal="left"/>
    </xf>
    <xf numFmtId="179" fontId="2" fillId="0" borderId="4" xfId="0" applyNumberFormat="1" applyFont="1" applyBorder="1" applyAlignment="1">
      <alignment horizontal="left"/>
    </xf>
    <xf numFmtId="9" fontId="51" fillId="0" borderId="11" xfId="1" applyFont="1" applyFill="1" applyBorder="1" applyAlignment="1">
      <alignment horizontal="center" vertical="center"/>
    </xf>
    <xf numFmtId="9" fontId="51" fillId="0" borderId="12" xfId="1" applyFont="1" applyFill="1" applyBorder="1" applyAlignment="1">
      <alignment horizontal="center" vertical="center"/>
    </xf>
    <xf numFmtId="2" fontId="34" fillId="0" borderId="0" xfId="0" applyNumberFormat="1" applyFont="1" applyFill="1" applyAlignment="1">
      <alignment horizontal="left" vertical="center" wrapText="1"/>
    </xf>
    <xf numFmtId="0" fontId="70" fillId="9" borderId="13" xfId="0" applyFont="1" applyFill="1" applyBorder="1" applyAlignment="1">
      <alignment horizontal="left"/>
    </xf>
    <xf numFmtId="0" fontId="70" fillId="9" borderId="14" xfId="0" applyFont="1" applyFill="1" applyBorder="1" applyAlignment="1">
      <alignment horizontal="left"/>
    </xf>
    <xf numFmtId="0" fontId="70" fillId="9" borderId="15" xfId="0" applyFont="1" applyFill="1" applyBorder="1" applyAlignment="1">
      <alignment horizontal="left"/>
    </xf>
    <xf numFmtId="174" fontId="51" fillId="0" borderId="11" xfId="0" applyNumberFormat="1" applyFont="1" applyFill="1" applyBorder="1" applyAlignment="1">
      <alignment horizontal="center" vertical="center"/>
    </xf>
    <xf numFmtId="174" fontId="51" fillId="0" borderId="12" xfId="0" applyNumberFormat="1" applyFont="1" applyFill="1" applyBorder="1" applyAlignment="1">
      <alignment horizontal="center" vertical="center"/>
    </xf>
    <xf numFmtId="180" fontId="34" fillId="0" borderId="0" xfId="0" applyNumberFormat="1" applyFont="1" applyAlignment="1">
      <alignment horizontal="left" vertical="center" wrapText="1"/>
    </xf>
    <xf numFmtId="179" fontId="34" fillId="0" borderId="0" xfId="0" applyNumberFormat="1" applyFont="1" applyAlignment="1">
      <alignment horizontal="left" vertical="center" wrapText="1"/>
    </xf>
    <xf numFmtId="0" fontId="8" fillId="0" borderId="13" xfId="0" applyFont="1" applyBorder="1" applyAlignment="1">
      <alignment horizontal="left"/>
    </xf>
    <xf numFmtId="0" fontId="8" fillId="0" borderId="14" xfId="0" applyFont="1" applyBorder="1" applyAlignment="1">
      <alignment horizontal="left"/>
    </xf>
    <xf numFmtId="0" fontId="8" fillId="0" borderId="15" xfId="0" applyFont="1" applyBorder="1" applyAlignment="1">
      <alignment horizontal="left"/>
    </xf>
    <xf numFmtId="0" fontId="34" fillId="8" borderId="13" xfId="0" applyFont="1" applyFill="1" applyBorder="1" applyAlignment="1">
      <alignment horizontal="center"/>
    </xf>
    <xf numFmtId="0" fontId="34" fillId="8" borderId="14" xfId="0" applyFont="1" applyFill="1" applyBorder="1" applyAlignment="1">
      <alignment horizontal="center"/>
    </xf>
    <xf numFmtId="0" fontId="34" fillId="8" borderId="15" xfId="0" applyFont="1" applyFill="1" applyBorder="1" applyAlignment="1">
      <alignment horizontal="center"/>
    </xf>
    <xf numFmtId="0" fontId="34" fillId="0" borderId="18" xfId="0" applyFont="1" applyFill="1" applyBorder="1" applyAlignment="1">
      <alignment horizontal="center" vertical="center"/>
    </xf>
    <xf numFmtId="0" fontId="21" fillId="6" borderId="11" xfId="0" applyFont="1" applyFill="1" applyBorder="1" applyAlignment="1">
      <alignment horizontal="center"/>
    </xf>
    <xf numFmtId="0" fontId="21" fillId="6" borderId="18" xfId="0" applyFont="1" applyFill="1" applyBorder="1" applyAlignment="1">
      <alignment horizontal="center"/>
    </xf>
    <xf numFmtId="0" fontId="21" fillId="6" borderId="12" xfId="0" applyFont="1" applyFill="1" applyBorder="1" applyAlignment="1">
      <alignment horizontal="center"/>
    </xf>
    <xf numFmtId="181" fontId="35" fillId="0" borderId="13" xfId="0" applyNumberFormat="1" applyFont="1" applyBorder="1" applyAlignment="1">
      <alignment horizontal="left"/>
    </xf>
    <xf numFmtId="181" fontId="35" fillId="0" borderId="15" xfId="0" applyNumberFormat="1" applyFont="1" applyBorder="1" applyAlignment="1">
      <alignment horizontal="left"/>
    </xf>
    <xf numFmtId="179" fontId="27" fillId="0" borderId="4" xfId="3" applyNumberFormat="1" applyFont="1" applyBorder="1" applyAlignment="1">
      <alignment horizontal="left"/>
    </xf>
    <xf numFmtId="180" fontId="35" fillId="0" borderId="13" xfId="0" applyNumberFormat="1" applyFont="1" applyBorder="1" applyAlignment="1">
      <alignment horizontal="left"/>
    </xf>
    <xf numFmtId="180" fontId="35" fillId="0" borderId="15" xfId="0" applyNumberFormat="1" applyFont="1" applyBorder="1" applyAlignment="1">
      <alignment horizontal="left"/>
    </xf>
    <xf numFmtId="183" fontId="35" fillId="0" borderId="4" xfId="0" applyNumberFormat="1" applyFont="1" applyBorder="1" applyAlignment="1">
      <alignment horizontal="left"/>
    </xf>
    <xf numFmtId="183" fontId="35" fillId="0" borderId="13" xfId="0" applyNumberFormat="1" applyFont="1" applyBorder="1" applyAlignment="1">
      <alignment horizontal="left"/>
    </xf>
    <xf numFmtId="183" fontId="35" fillId="0" borderId="15" xfId="0" applyNumberFormat="1" applyFont="1" applyBorder="1" applyAlignment="1">
      <alignment horizontal="left"/>
    </xf>
    <xf numFmtId="186" fontId="27" fillId="0" borderId="4" xfId="3" applyNumberFormat="1" applyFont="1" applyBorder="1" applyAlignment="1">
      <alignment horizontal="left"/>
    </xf>
    <xf numFmtId="0" fontId="35" fillId="0" borderId="4" xfId="3" applyFont="1" applyBorder="1" applyAlignment="1">
      <alignment horizontal="left"/>
    </xf>
    <xf numFmtId="0" fontId="9" fillId="9" borderId="13" xfId="0" applyFont="1" applyFill="1" applyBorder="1" applyAlignment="1">
      <alignment horizontal="left" vertical="center"/>
    </xf>
    <xf numFmtId="0" fontId="9" fillId="9" borderId="14" xfId="0" applyFont="1" applyFill="1" applyBorder="1" applyAlignment="1">
      <alignment horizontal="left" vertical="center"/>
    </xf>
    <xf numFmtId="0" fontId="9" fillId="9" borderId="15" xfId="0" applyFont="1" applyFill="1" applyBorder="1" applyAlignment="1">
      <alignment horizontal="left" vertical="center"/>
    </xf>
    <xf numFmtId="0" fontId="9" fillId="9" borderId="4" xfId="0" applyFont="1" applyFill="1" applyBorder="1" applyAlignment="1">
      <alignment horizontal="left" vertical="center"/>
    </xf>
    <xf numFmtId="0" fontId="35" fillId="0" borderId="13" xfId="0" applyFont="1" applyBorder="1" applyAlignment="1">
      <alignment horizontal="center"/>
    </xf>
    <xf numFmtId="0" fontId="35" fillId="0" borderId="14" xfId="0" applyFont="1" applyBorder="1" applyAlignment="1">
      <alignment horizontal="center"/>
    </xf>
    <xf numFmtId="0" fontId="35" fillId="0" borderId="15" xfId="0" applyFont="1" applyBorder="1" applyAlignment="1">
      <alignment horizontal="center"/>
    </xf>
    <xf numFmtId="3" fontId="2" fillId="0" borderId="4" xfId="0" applyNumberFormat="1" applyFont="1" applyFill="1" applyBorder="1" applyAlignment="1">
      <alignment horizontal="center" vertical="center"/>
    </xf>
    <xf numFmtId="0" fontId="2" fillId="0" borderId="4" xfId="0" applyFont="1" applyFill="1" applyBorder="1" applyAlignment="1">
      <alignment horizontal="center" vertical="center"/>
    </xf>
    <xf numFmtId="1" fontId="9" fillId="0" borderId="13" xfId="0" applyNumberFormat="1" applyFont="1" applyFill="1" applyBorder="1" applyAlignment="1">
      <alignment horizontal="center" vertical="center" wrapText="1"/>
    </xf>
    <xf numFmtId="1" fontId="9" fillId="0" borderId="15" xfId="0" applyNumberFormat="1" applyFont="1" applyFill="1" applyBorder="1" applyAlignment="1">
      <alignment horizontal="center" vertical="center" wrapText="1"/>
    </xf>
    <xf numFmtId="0" fontId="9" fillId="23" borderId="16" xfId="0" applyFont="1" applyFill="1" applyBorder="1" applyAlignment="1">
      <alignment horizontal="center" vertical="center" wrapText="1"/>
    </xf>
    <xf numFmtId="170" fontId="2" fillId="0" borderId="16" xfId="0" applyNumberFormat="1" applyFont="1" applyFill="1" applyBorder="1" applyAlignment="1">
      <alignment horizontal="center" vertical="center" wrapText="1"/>
    </xf>
    <xf numFmtId="2" fontId="25" fillId="0" borderId="4" xfId="0" applyNumberFormat="1" applyFont="1" applyFill="1" applyBorder="1" applyAlignment="1">
      <alignment horizontal="center" vertical="center"/>
    </xf>
    <xf numFmtId="0" fontId="25" fillId="0" borderId="4" xfId="0" applyFont="1" applyFill="1" applyBorder="1" applyAlignment="1">
      <alignment horizontal="center" vertical="center"/>
    </xf>
    <xf numFmtId="2" fontId="25" fillId="0" borderId="4" xfId="0" applyNumberFormat="1" applyFont="1" applyBorder="1" applyAlignment="1">
      <alignment horizontal="left" vertical="center"/>
    </xf>
    <xf numFmtId="2" fontId="16" fillId="0" borderId="0" xfId="0" applyNumberFormat="1" applyFont="1" applyAlignment="1">
      <alignment horizontal="center"/>
    </xf>
    <xf numFmtId="2" fontId="35" fillId="0" borderId="4" xfId="0" applyNumberFormat="1" applyFont="1" applyBorder="1" applyAlignment="1">
      <alignment horizontal="left"/>
    </xf>
    <xf numFmtId="0" fontId="2" fillId="0" borderId="13" xfId="0" applyFont="1" applyFill="1" applyBorder="1" applyAlignment="1">
      <alignment horizontal="center" vertical="center"/>
    </xf>
    <xf numFmtId="0" fontId="2" fillId="0" borderId="14" xfId="0" applyFont="1" applyFill="1" applyBorder="1" applyAlignment="1">
      <alignment horizontal="center" vertical="center"/>
    </xf>
    <xf numFmtId="0" fontId="2" fillId="0" borderId="15" xfId="0" applyFont="1" applyFill="1" applyBorder="1" applyAlignment="1">
      <alignment horizontal="center" vertical="center"/>
    </xf>
    <xf numFmtId="0" fontId="21" fillId="23" borderId="9" xfId="0" applyFont="1" applyFill="1" applyBorder="1" applyAlignment="1">
      <alignment horizontal="center" vertical="center" wrapText="1"/>
    </xf>
    <xf numFmtId="169" fontId="2" fillId="0" borderId="4" xfId="0" applyNumberFormat="1" applyFont="1" applyBorder="1" applyAlignment="1">
      <alignment horizontal="center" vertical="center" wrapText="1"/>
    </xf>
    <xf numFmtId="0" fontId="21" fillId="23" borderId="17" xfId="0" applyFont="1" applyFill="1" applyBorder="1" applyAlignment="1">
      <alignment horizontal="center" vertical="center" wrapText="1"/>
    </xf>
    <xf numFmtId="0" fontId="2" fillId="0" borderId="4" xfId="0" applyFont="1" applyBorder="1" applyAlignment="1">
      <alignment horizontal="center" vertical="center" wrapText="1"/>
    </xf>
    <xf numFmtId="2" fontId="2" fillId="0" borderId="16" xfId="0" applyNumberFormat="1" applyFont="1" applyFill="1" applyBorder="1" applyAlignment="1">
      <alignment horizontal="center" vertical="center" wrapText="1"/>
    </xf>
    <xf numFmtId="0" fontId="21" fillId="23" borderId="19" xfId="0" applyFont="1" applyFill="1" applyBorder="1" applyAlignment="1">
      <alignment horizontal="center" vertical="center" wrapText="1"/>
    </xf>
    <xf numFmtId="0" fontId="21" fillId="23" borderId="20" xfId="0" applyFont="1" applyFill="1" applyBorder="1" applyAlignment="1">
      <alignment horizontal="center" vertical="center" wrapText="1"/>
    </xf>
    <xf numFmtId="0" fontId="43" fillId="0" borderId="16" xfId="0" applyFont="1" applyFill="1" applyBorder="1" applyAlignment="1">
      <alignment horizontal="center" vertical="center" wrapText="1"/>
    </xf>
    <xf numFmtId="0" fontId="9" fillId="0" borderId="4" xfId="0" applyFont="1" applyBorder="1" applyAlignment="1">
      <alignment horizontal="center" vertical="center"/>
    </xf>
    <xf numFmtId="1" fontId="2" fillId="22" borderId="6" xfId="0" applyNumberFormat="1" applyFont="1" applyFill="1" applyBorder="1" applyAlignment="1">
      <alignment horizontal="center" vertical="center" wrapText="1"/>
    </xf>
    <xf numFmtId="1" fontId="2" fillId="22" borderId="7" xfId="0" applyNumberFormat="1" applyFont="1" applyFill="1" applyBorder="1" applyAlignment="1">
      <alignment horizontal="center" vertical="center" wrapText="1"/>
    </xf>
    <xf numFmtId="1" fontId="2" fillId="22" borderId="8" xfId="0" applyNumberFormat="1" applyFont="1" applyFill="1" applyBorder="1" applyAlignment="1">
      <alignment horizontal="center" vertical="center" wrapText="1"/>
    </xf>
    <xf numFmtId="0" fontId="9" fillId="22" borderId="1" xfId="0" applyFont="1" applyFill="1" applyBorder="1" applyAlignment="1">
      <alignment horizontal="center" vertical="center" wrapText="1"/>
    </xf>
    <xf numFmtId="0" fontId="9" fillId="22" borderId="2" xfId="0" applyFont="1" applyFill="1" applyBorder="1" applyAlignment="1">
      <alignment horizontal="center" vertical="center" wrapText="1"/>
    </xf>
    <xf numFmtId="0" fontId="9" fillId="22" borderId="6" xfId="0" applyFont="1" applyFill="1" applyBorder="1" applyAlignment="1">
      <alignment horizontal="center" vertical="center" wrapText="1"/>
    </xf>
    <xf numFmtId="0" fontId="9" fillId="22" borderId="7" xfId="0" applyFont="1" applyFill="1" applyBorder="1" applyAlignment="1">
      <alignment horizontal="center" vertical="center" wrapText="1"/>
    </xf>
    <xf numFmtId="0" fontId="9" fillId="22" borderId="8" xfId="0" applyFont="1" applyFill="1" applyBorder="1" applyAlignment="1">
      <alignment horizontal="center" vertical="center" wrapText="1"/>
    </xf>
    <xf numFmtId="2" fontId="2" fillId="4" borderId="4" xfId="0" applyNumberFormat="1" applyFont="1" applyFill="1" applyBorder="1" applyAlignment="1">
      <alignment horizontal="center" vertical="center" wrapText="1"/>
    </xf>
    <xf numFmtId="2" fontId="2" fillId="13" borderId="4" xfId="0" applyNumberFormat="1" applyFont="1" applyFill="1" applyBorder="1" applyAlignment="1">
      <alignment horizontal="center" vertical="center" wrapText="1"/>
    </xf>
    <xf numFmtId="0" fontId="9" fillId="23" borderId="28" xfId="0" applyFont="1" applyFill="1" applyBorder="1" applyAlignment="1">
      <alignment horizontal="center" vertical="center" wrapText="1"/>
    </xf>
    <xf numFmtId="0" fontId="9" fillId="23" borderId="30" xfId="0" applyFont="1" applyFill="1" applyBorder="1" applyAlignment="1">
      <alignment horizontal="center" vertical="center" wrapText="1"/>
    </xf>
    <xf numFmtId="182" fontId="35" fillId="0" borderId="4" xfId="0" applyNumberFormat="1" applyFont="1" applyBorder="1" applyAlignment="1">
      <alignment horizontal="left"/>
    </xf>
    <xf numFmtId="181" fontId="35" fillId="0" borderId="4" xfId="0" applyNumberFormat="1" applyFont="1" applyBorder="1" applyAlignment="1">
      <alignment horizontal="left"/>
    </xf>
    <xf numFmtId="0" fontId="44" fillId="0" borderId="13" xfId="0" applyFont="1" applyBorder="1" applyAlignment="1">
      <alignment horizontal="left"/>
    </xf>
    <xf numFmtId="0" fontId="44" fillId="0" borderId="15" xfId="0" applyFont="1" applyBorder="1" applyAlignment="1">
      <alignment horizontal="left"/>
    </xf>
    <xf numFmtId="0" fontId="72" fillId="0" borderId="4" xfId="0" applyFont="1" applyBorder="1" applyAlignment="1">
      <alignment horizontal="center" vertical="center" textRotation="90" shrinkToFit="1"/>
    </xf>
    <xf numFmtId="0" fontId="17" fillId="0" borderId="0" xfId="0" applyFont="1" applyAlignment="1">
      <alignment horizontal="left" vertical="center"/>
    </xf>
    <xf numFmtId="1" fontId="2" fillId="0" borderId="0" xfId="0" applyNumberFormat="1" applyFont="1" applyFill="1" applyAlignment="1">
      <alignment horizontal="center"/>
    </xf>
    <xf numFmtId="0" fontId="17" fillId="0" borderId="0" xfId="0" applyFont="1" applyFill="1" applyAlignment="1">
      <alignment horizontal="left" vertical="center"/>
    </xf>
    <xf numFmtId="182" fontId="35" fillId="0" borderId="13" xfId="0" applyNumberFormat="1" applyFont="1" applyBorder="1" applyAlignment="1">
      <alignment horizontal="left"/>
    </xf>
    <xf numFmtId="182" fontId="35" fillId="0" borderId="15" xfId="0" applyNumberFormat="1" applyFont="1" applyBorder="1" applyAlignment="1">
      <alignment horizontal="left"/>
    </xf>
    <xf numFmtId="183" fontId="9" fillId="0" borderId="13" xfId="0" applyNumberFormat="1" applyFont="1" applyBorder="1" applyAlignment="1">
      <alignment horizontal="left"/>
    </xf>
    <xf numFmtId="183" fontId="9" fillId="0" borderId="15" xfId="0" applyNumberFormat="1" applyFont="1" applyBorder="1" applyAlignment="1">
      <alignment horizontal="left"/>
    </xf>
    <xf numFmtId="185" fontId="35" fillId="0" borderId="13" xfId="0" applyNumberFormat="1" applyFont="1" applyBorder="1" applyAlignment="1">
      <alignment horizontal="left"/>
    </xf>
    <xf numFmtId="185" fontId="35" fillId="0" borderId="15" xfId="0" applyNumberFormat="1" applyFont="1" applyBorder="1" applyAlignment="1">
      <alignment horizontal="left"/>
    </xf>
    <xf numFmtId="180" fontId="35" fillId="0" borderId="4" xfId="0" applyNumberFormat="1" applyFont="1" applyBorder="1" applyAlignment="1">
      <alignment horizontal="left"/>
    </xf>
    <xf numFmtId="184" fontId="9" fillId="7" borderId="13" xfId="0" applyNumberFormat="1" applyFont="1" applyFill="1" applyBorder="1" applyAlignment="1">
      <alignment horizontal="left"/>
    </xf>
    <xf numFmtId="184" fontId="9" fillId="7" borderId="15" xfId="0" applyNumberFormat="1" applyFont="1" applyFill="1" applyBorder="1" applyAlignment="1">
      <alignment horizontal="left"/>
    </xf>
    <xf numFmtId="179" fontId="9" fillId="6" borderId="4" xfId="0" applyNumberFormat="1" applyFont="1" applyFill="1" applyBorder="1" applyAlignment="1">
      <alignment horizontal="left"/>
    </xf>
    <xf numFmtId="0" fontId="2" fillId="21" borderId="68" xfId="0" applyFont="1" applyFill="1" applyBorder="1" applyAlignment="1">
      <alignment horizontal="left"/>
    </xf>
    <xf numFmtId="0" fontId="2" fillId="21" borderId="55" xfId="0" applyFont="1" applyFill="1" applyBorder="1" applyAlignment="1">
      <alignment horizontal="left"/>
    </xf>
    <xf numFmtId="181" fontId="9" fillId="6" borderId="4" xfId="0" applyNumberFormat="1" applyFont="1" applyFill="1" applyBorder="1" applyAlignment="1">
      <alignment horizontal="left"/>
    </xf>
    <xf numFmtId="180" fontId="2" fillId="0" borderId="4" xfId="0" applyNumberFormat="1" applyFont="1" applyFill="1" applyBorder="1" applyAlignment="1">
      <alignment horizontal="left"/>
    </xf>
    <xf numFmtId="180" fontId="2" fillId="0" borderId="4" xfId="0" applyNumberFormat="1" applyFont="1" applyBorder="1" applyAlignment="1">
      <alignment horizontal="left"/>
    </xf>
    <xf numFmtId="9" fontId="35" fillId="0" borderId="4" xfId="0" applyNumberFormat="1" applyFont="1" applyBorder="1" applyAlignment="1">
      <alignment horizontal="left"/>
    </xf>
    <xf numFmtId="0" fontId="2" fillId="21" borderId="67" xfId="0" applyFont="1" applyFill="1" applyBorder="1" applyAlignment="1">
      <alignment horizontal="left"/>
    </xf>
    <xf numFmtId="0" fontId="2" fillId="21" borderId="4" xfId="0" applyFont="1" applyFill="1" applyBorder="1" applyAlignment="1">
      <alignment horizontal="left"/>
    </xf>
    <xf numFmtId="183" fontId="9" fillId="9" borderId="4" xfId="0" applyNumberFormat="1" applyFont="1" applyFill="1" applyBorder="1" applyAlignment="1">
      <alignment horizontal="left"/>
    </xf>
    <xf numFmtId="0" fontId="2" fillId="15" borderId="21" xfId="0" applyFont="1" applyFill="1" applyBorder="1" applyAlignment="1">
      <alignment horizontal="center" vertical="center"/>
    </xf>
    <xf numFmtId="0" fontId="2" fillId="15" borderId="22" xfId="0" applyFont="1" applyFill="1" applyBorder="1" applyAlignment="1">
      <alignment horizontal="center" vertical="center"/>
    </xf>
    <xf numFmtId="0" fontId="2" fillId="15" borderId="23" xfId="0" applyFont="1" applyFill="1" applyBorder="1" applyAlignment="1">
      <alignment horizontal="center" vertical="center"/>
    </xf>
    <xf numFmtId="188" fontId="35" fillId="0" borderId="4" xfId="3" applyNumberFormat="1" applyFont="1" applyBorder="1" applyAlignment="1">
      <alignment horizontal="left"/>
    </xf>
    <xf numFmtId="0" fontId="9" fillId="10" borderId="28" xfId="0" applyFont="1" applyFill="1" applyBorder="1" applyAlignment="1">
      <alignment horizontal="center" vertical="center"/>
    </xf>
    <xf numFmtId="0" fontId="9" fillId="10" borderId="30" xfId="0" applyFont="1" applyFill="1" applyBorder="1" applyAlignment="1">
      <alignment horizontal="center" vertical="center"/>
    </xf>
    <xf numFmtId="0" fontId="26" fillId="0" borderId="0" xfId="0" applyFont="1" applyAlignment="1">
      <alignment horizontal="left" vertical="center"/>
    </xf>
    <xf numFmtId="2" fontId="9" fillId="12" borderId="13" xfId="0" applyNumberFormat="1" applyFont="1" applyFill="1" applyBorder="1" applyAlignment="1">
      <alignment horizontal="center" vertical="center"/>
    </xf>
    <xf numFmtId="2" fontId="9" fillId="12" borderId="15" xfId="0" applyNumberFormat="1" applyFont="1" applyFill="1" applyBorder="1" applyAlignment="1">
      <alignment horizontal="center" vertical="center"/>
    </xf>
    <xf numFmtId="167" fontId="9" fillId="12" borderId="4" xfId="0" applyNumberFormat="1" applyFont="1" applyFill="1" applyBorder="1" applyAlignment="1">
      <alignment horizontal="center" vertical="center"/>
    </xf>
    <xf numFmtId="2" fontId="2" fillId="5" borderId="30" xfId="0" applyNumberFormat="1" applyFont="1" applyFill="1" applyBorder="1" applyAlignment="1">
      <alignment horizontal="center" vertical="center"/>
    </xf>
    <xf numFmtId="2" fontId="24" fillId="0" borderId="13" xfId="0" applyNumberFormat="1" applyFont="1" applyFill="1" applyBorder="1" applyAlignment="1">
      <alignment horizontal="center" vertical="center"/>
    </xf>
    <xf numFmtId="2" fontId="24" fillId="0" borderId="15" xfId="0" applyNumberFormat="1" applyFont="1" applyFill="1" applyBorder="1" applyAlignment="1">
      <alignment horizontal="center" vertical="center"/>
    </xf>
    <xf numFmtId="2" fontId="2" fillId="5" borderId="13" xfId="0" applyNumberFormat="1" applyFont="1" applyFill="1" applyBorder="1" applyAlignment="1">
      <alignment horizontal="center" vertical="center"/>
    </xf>
    <xf numFmtId="2" fontId="2" fillId="5" borderId="15" xfId="0" applyNumberFormat="1" applyFont="1" applyFill="1" applyBorder="1" applyAlignment="1">
      <alignment horizontal="center" vertical="center"/>
    </xf>
    <xf numFmtId="1" fontId="9" fillId="23" borderId="28" xfId="0" applyNumberFormat="1" applyFont="1" applyFill="1" applyBorder="1" applyAlignment="1">
      <alignment horizontal="center" vertical="center" wrapText="1"/>
    </xf>
    <xf numFmtId="1" fontId="9" fillId="23" borderId="30" xfId="0" applyNumberFormat="1" applyFont="1" applyFill="1" applyBorder="1" applyAlignment="1">
      <alignment horizontal="center" vertical="center" wrapText="1"/>
    </xf>
    <xf numFmtId="0" fontId="66" fillId="0" borderId="0" xfId="0" applyFont="1" applyFill="1" applyBorder="1" applyAlignment="1">
      <alignment horizontal="left" vertical="center" wrapText="1"/>
    </xf>
    <xf numFmtId="0" fontId="66" fillId="0" borderId="37" xfId="0" applyFont="1" applyFill="1" applyBorder="1" applyAlignment="1">
      <alignment horizontal="left" vertical="center" wrapText="1"/>
    </xf>
    <xf numFmtId="0" fontId="2" fillId="0" borderId="28" xfId="0" applyFont="1" applyBorder="1" applyAlignment="1">
      <alignment horizontal="center" vertical="center"/>
    </xf>
    <xf numFmtId="166" fontId="2" fillId="0" borderId="28" xfId="0" applyNumberFormat="1" applyFont="1" applyBorder="1" applyAlignment="1">
      <alignment horizontal="center" vertical="center"/>
    </xf>
    <xf numFmtId="0" fontId="9" fillId="20" borderId="4" xfId="0" applyFont="1" applyFill="1" applyBorder="1" applyAlignment="1">
      <alignment horizontal="center" vertical="center"/>
    </xf>
    <xf numFmtId="0" fontId="61" fillId="0" borderId="0" xfId="0" applyFont="1" applyFill="1" applyAlignment="1">
      <alignment horizontal="center"/>
    </xf>
    <xf numFmtId="0" fontId="65" fillId="0" borderId="36" xfId="0" applyFont="1" applyFill="1" applyBorder="1" applyAlignment="1">
      <alignment horizontal="right" vertical="center"/>
    </xf>
    <xf numFmtId="0" fontId="65" fillId="0" borderId="0" xfId="0" applyFont="1" applyFill="1" applyBorder="1" applyAlignment="1">
      <alignment horizontal="right" vertical="center"/>
    </xf>
    <xf numFmtId="0" fontId="18" fillId="0" borderId="0" xfId="0" applyFont="1" applyAlignment="1">
      <alignment horizontal="center" vertical="center"/>
    </xf>
    <xf numFmtId="0" fontId="31" fillId="0" borderId="4" xfId="0" applyFont="1" applyBorder="1" applyAlignment="1">
      <alignment horizontal="left" vertical="center" wrapText="1"/>
    </xf>
    <xf numFmtId="0" fontId="20" fillId="10" borderId="4" xfId="0" applyFont="1" applyFill="1" applyBorder="1" applyAlignment="1">
      <alignment horizontal="left" vertical="center" wrapText="1"/>
    </xf>
    <xf numFmtId="0" fontId="66" fillId="0" borderId="0" xfId="0" applyFont="1" applyFill="1" applyBorder="1" applyAlignment="1">
      <alignment horizontal="left" vertical="center"/>
    </xf>
    <xf numFmtId="0" fontId="66" fillId="0" borderId="37" xfId="0" applyFont="1" applyFill="1" applyBorder="1" applyAlignment="1">
      <alignment horizontal="left" vertical="center"/>
    </xf>
    <xf numFmtId="0" fontId="65" fillId="0" borderId="38" xfId="0" applyFont="1" applyFill="1" applyBorder="1" applyAlignment="1">
      <alignment horizontal="right" vertical="center"/>
    </xf>
    <xf numFmtId="0" fontId="65" fillId="0" borderId="39" xfId="0" applyFont="1" applyFill="1" applyBorder="1" applyAlignment="1">
      <alignment horizontal="right" vertical="center"/>
    </xf>
    <xf numFmtId="0" fontId="66" fillId="0" borderId="39" xfId="0" applyFont="1" applyFill="1" applyBorder="1" applyAlignment="1">
      <alignment horizontal="left" vertical="center"/>
    </xf>
    <xf numFmtId="0" fontId="66" fillId="0" borderId="40" xfId="0" applyFont="1" applyFill="1" applyBorder="1" applyAlignment="1">
      <alignment horizontal="left" vertical="center"/>
    </xf>
    <xf numFmtId="0" fontId="65" fillId="0" borderId="36" xfId="0" applyFont="1" applyFill="1" applyBorder="1" applyAlignment="1">
      <alignment horizontal="center" vertical="center" wrapText="1"/>
    </xf>
    <xf numFmtId="0" fontId="65" fillId="0" borderId="0" xfId="0" applyFont="1" applyFill="1" applyBorder="1" applyAlignment="1">
      <alignment horizontal="center" vertical="center"/>
    </xf>
    <xf numFmtId="0" fontId="65" fillId="0" borderId="37" xfId="0" applyFont="1" applyFill="1" applyBorder="1" applyAlignment="1">
      <alignment horizontal="center" vertical="center"/>
    </xf>
    <xf numFmtId="191" fontId="26" fillId="0" borderId="16" xfId="0" applyNumberFormat="1" applyFont="1" applyBorder="1" applyAlignment="1">
      <alignment horizontal="center" vertical="center"/>
    </xf>
    <xf numFmtId="0" fontId="21" fillId="0" borderId="4" xfId="0" applyFont="1" applyBorder="1" applyAlignment="1">
      <alignment horizontal="left" vertical="center"/>
    </xf>
    <xf numFmtId="0" fontId="10" fillId="0" borderId="0" xfId="0" applyFont="1" applyAlignment="1">
      <alignment horizontal="center" vertical="center" wrapText="1"/>
    </xf>
    <xf numFmtId="0" fontId="10" fillId="0" borderId="0" xfId="0" applyFont="1" applyAlignment="1">
      <alignment horizontal="center" vertical="center"/>
    </xf>
    <xf numFmtId="0" fontId="14" fillId="0" borderId="4" xfId="0" applyFont="1" applyFill="1" applyBorder="1" applyAlignment="1">
      <alignment horizontal="center" vertical="center"/>
    </xf>
    <xf numFmtId="177" fontId="2" fillId="0" borderId="13" xfId="0" applyNumberFormat="1" applyFont="1" applyBorder="1" applyAlignment="1">
      <alignment horizontal="center" vertical="center"/>
    </xf>
    <xf numFmtId="177" fontId="2" fillId="0" borderId="14" xfId="0" applyNumberFormat="1" applyFont="1" applyBorder="1" applyAlignment="1">
      <alignment horizontal="center" vertical="center"/>
    </xf>
    <xf numFmtId="198" fontId="12" fillId="0" borderId="4" xfId="0" applyNumberFormat="1" applyFont="1" applyFill="1" applyBorder="1" applyAlignment="1">
      <alignment horizontal="center" vertical="center"/>
    </xf>
    <xf numFmtId="178" fontId="12" fillId="0" borderId="4" xfId="0" applyNumberFormat="1" applyFont="1" applyFill="1" applyBorder="1" applyAlignment="1">
      <alignment horizontal="center" vertical="center"/>
    </xf>
    <xf numFmtId="189" fontId="100" fillId="0" borderId="97" xfId="0" applyNumberFormat="1" applyFont="1" applyFill="1" applyBorder="1" applyAlignment="1">
      <alignment horizontal="center" vertical="center"/>
    </xf>
    <xf numFmtId="189" fontId="100" fillId="0" borderId="0" xfId="0" applyNumberFormat="1" applyFont="1" applyFill="1" applyBorder="1" applyAlignment="1">
      <alignment horizontal="center" vertical="center"/>
    </xf>
    <xf numFmtId="0" fontId="24" fillId="18" borderId="4" xfId="0" applyFont="1" applyFill="1" applyBorder="1" applyAlignment="1">
      <alignment horizontal="left" vertical="center"/>
    </xf>
    <xf numFmtId="0" fontId="100" fillId="0" borderId="97" xfId="0" applyFont="1" applyFill="1" applyBorder="1" applyAlignment="1">
      <alignment horizontal="center" vertical="center" wrapText="1"/>
    </xf>
    <xf numFmtId="0" fontId="100" fillId="0" borderId="0" xfId="0" applyFont="1" applyFill="1" applyBorder="1" applyAlignment="1">
      <alignment horizontal="center" vertical="center" wrapText="1"/>
    </xf>
    <xf numFmtId="0" fontId="36" fillId="15" borderId="13" xfId="0" applyFont="1" applyFill="1" applyBorder="1" applyAlignment="1">
      <alignment horizontal="left" vertical="center"/>
    </xf>
    <xf numFmtId="0" fontId="36" fillId="15" borderId="14" xfId="0" applyFont="1" applyFill="1" applyBorder="1" applyAlignment="1">
      <alignment horizontal="left" vertical="center"/>
    </xf>
    <xf numFmtId="0" fontId="36" fillId="15" borderId="15" xfId="0" applyFont="1" applyFill="1" applyBorder="1" applyAlignment="1">
      <alignment horizontal="left" vertical="center"/>
    </xf>
    <xf numFmtId="178" fontId="2" fillId="0" borderId="13" xfId="0" applyNumberFormat="1" applyFont="1" applyBorder="1" applyAlignment="1">
      <alignment horizontal="center" vertical="center"/>
    </xf>
    <xf numFmtId="178" fontId="2" fillId="0" borderId="14" xfId="0" applyNumberFormat="1" applyFont="1" applyBorder="1" applyAlignment="1">
      <alignment horizontal="center" vertical="center"/>
    </xf>
    <xf numFmtId="0" fontId="12" fillId="0" borderId="4" xfId="0" applyFont="1" applyFill="1" applyBorder="1" applyAlignment="1">
      <alignment horizontal="center" vertical="center"/>
    </xf>
    <xf numFmtId="0" fontId="26" fillId="10" borderId="11" xfId="0" applyFont="1" applyFill="1" applyBorder="1" applyAlignment="1">
      <alignment horizontal="center" vertical="center"/>
    </xf>
    <xf numFmtId="0" fontId="26" fillId="10" borderId="18" xfId="0" applyFont="1" applyFill="1" applyBorder="1" applyAlignment="1">
      <alignment horizontal="center" vertical="center"/>
    </xf>
    <xf numFmtId="0" fontId="26" fillId="10" borderId="12" xfId="0" applyFont="1" applyFill="1" applyBorder="1" applyAlignment="1">
      <alignment horizontal="center" vertical="center"/>
    </xf>
    <xf numFmtId="0" fontId="9" fillId="0" borderId="4" xfId="0" applyFont="1" applyBorder="1" applyAlignment="1">
      <alignment horizontal="left" vertical="center"/>
    </xf>
    <xf numFmtId="194" fontId="17" fillId="0" borderId="71" xfId="0" applyNumberFormat="1" applyFont="1" applyBorder="1" applyAlignment="1">
      <alignment horizontal="center"/>
    </xf>
    <xf numFmtId="194" fontId="17" fillId="0" borderId="72" xfId="0" applyNumberFormat="1" applyFont="1" applyBorder="1" applyAlignment="1">
      <alignment horizontal="center"/>
    </xf>
    <xf numFmtId="194" fontId="17" fillId="0" borderId="73" xfId="0" applyNumberFormat="1" applyFont="1" applyBorder="1" applyAlignment="1">
      <alignment horizontal="center"/>
    </xf>
    <xf numFmtId="0" fontId="81" fillId="0" borderId="0" xfId="0" applyFont="1" applyAlignment="1">
      <alignment horizontal="center" vertical="center" wrapText="1"/>
    </xf>
    <xf numFmtId="0" fontId="80" fillId="0" borderId="0" xfId="0" applyFont="1" applyAlignment="1">
      <alignment horizontal="center" vertical="center"/>
    </xf>
    <xf numFmtId="0" fontId="24" fillId="0" borderId="0" xfId="0" applyFont="1" applyAlignment="1">
      <alignment horizontal="left" vertical="center"/>
    </xf>
    <xf numFmtId="0" fontId="18" fillId="4" borderId="48" xfId="0" applyFont="1" applyFill="1" applyBorder="1" applyAlignment="1">
      <alignment horizontal="center" vertical="center" wrapText="1"/>
    </xf>
    <xf numFmtId="0" fontId="18" fillId="4" borderId="49" xfId="0" applyFont="1" applyFill="1" applyBorder="1" applyAlignment="1">
      <alignment horizontal="center" vertical="center" wrapText="1"/>
    </xf>
    <xf numFmtId="0" fontId="18" fillId="4" borderId="52" xfId="0" applyFont="1" applyFill="1" applyBorder="1" applyAlignment="1">
      <alignment horizontal="center" vertical="center" wrapText="1"/>
    </xf>
    <xf numFmtId="0" fontId="18" fillId="4" borderId="50" xfId="0" applyFont="1" applyFill="1" applyBorder="1" applyAlignment="1">
      <alignment horizontal="center" vertical="center" wrapText="1"/>
    </xf>
    <xf numFmtId="0" fontId="18" fillId="4" borderId="0" xfId="0" applyFont="1" applyFill="1" applyBorder="1" applyAlignment="1">
      <alignment horizontal="center" vertical="center" wrapText="1"/>
    </xf>
    <xf numFmtId="0" fontId="18" fillId="4" borderId="31" xfId="0" applyFont="1" applyFill="1" applyBorder="1" applyAlignment="1">
      <alignment horizontal="center" vertical="center" wrapText="1"/>
    </xf>
    <xf numFmtId="0" fontId="18" fillId="4" borderId="51" xfId="0" applyFont="1" applyFill="1" applyBorder="1" applyAlignment="1">
      <alignment horizontal="center" vertical="center" wrapText="1"/>
    </xf>
    <xf numFmtId="0" fontId="18" fillId="4" borderId="32" xfId="0" applyFont="1" applyFill="1" applyBorder="1" applyAlignment="1">
      <alignment horizontal="center" vertical="center" wrapText="1"/>
    </xf>
    <xf numFmtId="0" fontId="18" fillId="4" borderId="53" xfId="0" applyFont="1" applyFill="1" applyBorder="1" applyAlignment="1">
      <alignment horizontal="center" vertical="center" wrapText="1"/>
    </xf>
    <xf numFmtId="0" fontId="26" fillId="0" borderId="0" xfId="0" applyFont="1" applyAlignment="1">
      <alignment horizontal="left" vertical="top" wrapText="1"/>
    </xf>
    <xf numFmtId="0" fontId="2" fillId="0" borderId="13" xfId="0" applyFont="1" applyBorder="1" applyAlignment="1">
      <alignment horizontal="center" vertical="center" wrapText="1"/>
    </xf>
    <xf numFmtId="0" fontId="9" fillId="23" borderId="4" xfId="0" applyFont="1" applyFill="1" applyBorder="1" applyAlignment="1">
      <alignment horizontal="center" vertical="center"/>
    </xf>
    <xf numFmtId="0" fontId="31" fillId="0" borderId="4" xfId="0" applyFont="1" applyFill="1" applyBorder="1" applyAlignment="1">
      <alignment horizontal="center" vertical="center" wrapText="1"/>
    </xf>
    <xf numFmtId="0" fontId="41" fillId="15" borderId="4" xfId="0" applyFont="1" applyFill="1" applyBorder="1" applyAlignment="1">
      <alignment horizontal="center" vertical="center" wrapText="1"/>
    </xf>
    <xf numFmtId="0" fontId="64" fillId="0" borderId="69" xfId="0" applyFont="1" applyBorder="1" applyAlignment="1">
      <alignment horizontal="center" vertical="center"/>
    </xf>
    <xf numFmtId="0" fontId="64" fillId="0" borderId="0" xfId="0" applyFont="1" applyBorder="1" applyAlignment="1">
      <alignment horizontal="center" vertical="center"/>
    </xf>
    <xf numFmtId="0" fontId="64" fillId="0" borderId="70" xfId="0" applyFont="1" applyBorder="1" applyAlignment="1">
      <alignment horizontal="center" vertical="center"/>
    </xf>
    <xf numFmtId="1" fontId="2" fillId="0" borderId="13" xfId="0" applyNumberFormat="1" applyFont="1" applyBorder="1" applyAlignment="1">
      <alignment horizontal="center" vertical="center"/>
    </xf>
    <xf numFmtId="1" fontId="2" fillId="0" borderId="14" xfId="0" applyNumberFormat="1" applyFont="1" applyBorder="1" applyAlignment="1">
      <alignment horizontal="center" vertical="center"/>
    </xf>
    <xf numFmtId="0" fontId="36" fillId="0" borderId="4" xfId="0" applyFont="1" applyBorder="1" applyAlignment="1">
      <alignment horizontal="center" vertical="center"/>
    </xf>
    <xf numFmtId="191" fontId="66" fillId="0" borderId="0" xfId="0" applyNumberFormat="1" applyFont="1" applyFill="1" applyBorder="1" applyAlignment="1">
      <alignment horizontal="left" vertical="center" wrapText="1"/>
    </xf>
    <xf numFmtId="191" fontId="66" fillId="0" borderId="0" xfId="0" applyNumberFormat="1" applyFont="1" applyFill="1" applyBorder="1" applyAlignment="1">
      <alignment horizontal="left" vertical="center"/>
    </xf>
    <xf numFmtId="191" fontId="66" fillId="0" borderId="37" xfId="0" applyNumberFormat="1" applyFont="1" applyFill="1" applyBorder="1" applyAlignment="1">
      <alignment horizontal="left" vertical="center"/>
    </xf>
    <xf numFmtId="0" fontId="9" fillId="6" borderId="4" xfId="0" applyFont="1" applyFill="1" applyBorder="1" applyAlignment="1">
      <alignment horizontal="center" vertical="center" wrapText="1"/>
    </xf>
    <xf numFmtId="0" fontId="2" fillId="0" borderId="21" xfId="0" applyFont="1" applyFill="1" applyBorder="1" applyAlignment="1">
      <alignment horizontal="center" vertical="center" wrapText="1"/>
    </xf>
    <xf numFmtId="0" fontId="2" fillId="0" borderId="23" xfId="0" applyFont="1" applyFill="1" applyBorder="1" applyAlignment="1">
      <alignment horizontal="center" vertical="center" wrapText="1"/>
    </xf>
    <xf numFmtId="10" fontId="10" fillId="0" borderId="43" xfId="0" applyNumberFormat="1" applyFont="1" applyFill="1" applyBorder="1" applyAlignment="1">
      <alignment horizontal="center" vertical="center"/>
    </xf>
    <xf numFmtId="10" fontId="10" fillId="0" borderId="47" xfId="0" applyNumberFormat="1" applyFont="1" applyFill="1" applyBorder="1" applyAlignment="1">
      <alignment horizontal="center" vertical="center"/>
    </xf>
    <xf numFmtId="0" fontId="9" fillId="23" borderId="4" xfId="0" applyFont="1" applyFill="1" applyBorder="1" applyAlignment="1">
      <alignment horizontal="center" vertical="center" wrapText="1"/>
    </xf>
    <xf numFmtId="189" fontId="36" fillId="0" borderId="13" xfId="0" applyNumberFormat="1" applyFont="1" applyBorder="1" applyAlignment="1">
      <alignment horizontal="center" vertical="center"/>
    </xf>
    <xf numFmtId="189" fontId="36" fillId="0" borderId="15" xfId="0" applyNumberFormat="1" applyFont="1" applyBorder="1" applyAlignment="1">
      <alignment horizontal="center" vertical="center"/>
    </xf>
    <xf numFmtId="2" fontId="106" fillId="0" borderId="4" xfId="0" applyNumberFormat="1" applyFont="1" applyFill="1" applyBorder="1" applyAlignment="1">
      <alignment horizontal="center" vertical="center" wrapText="1"/>
    </xf>
    <xf numFmtId="0" fontId="106" fillId="0" borderId="4" xfId="0" applyFont="1" applyFill="1" applyBorder="1" applyAlignment="1">
      <alignment horizontal="center" vertical="center" wrapText="1"/>
    </xf>
    <xf numFmtId="2" fontId="41" fillId="0" borderId="4" xfId="0" applyNumberFormat="1" applyFont="1" applyBorder="1" applyAlignment="1">
      <alignment horizontal="center" vertical="center" wrapText="1"/>
    </xf>
    <xf numFmtId="0" fontId="41" fillId="0" borderId="13" xfId="0" applyFont="1" applyBorder="1" applyAlignment="1">
      <alignment horizontal="center" vertical="center" wrapText="1"/>
    </xf>
    <xf numFmtId="0" fontId="31" fillId="0" borderId="13" xfId="0" applyFont="1" applyFill="1" applyBorder="1" applyAlignment="1">
      <alignment horizontal="center" vertical="center" wrapText="1"/>
    </xf>
    <xf numFmtId="0" fontId="27" fillId="0" borderId="13" xfId="0" applyFont="1" applyBorder="1" applyAlignment="1">
      <alignment horizontal="center" vertical="center" wrapText="1"/>
    </xf>
    <xf numFmtId="0" fontId="27" fillId="0" borderId="14" xfId="0" applyFont="1" applyBorder="1" applyAlignment="1">
      <alignment horizontal="center" vertical="center" wrapText="1"/>
    </xf>
    <xf numFmtId="177" fontId="12" fillId="0" borderId="4" xfId="0" applyNumberFormat="1" applyFont="1" applyFill="1" applyBorder="1" applyAlignment="1">
      <alignment horizontal="center" vertical="center"/>
    </xf>
    <xf numFmtId="0" fontId="2" fillId="0" borderId="4" xfId="0" applyFont="1" applyBorder="1" applyAlignment="1">
      <alignment horizontal="center" vertical="center"/>
    </xf>
    <xf numFmtId="0" fontId="2" fillId="0" borderId="13" xfId="0" applyFont="1" applyBorder="1" applyAlignment="1">
      <alignment horizontal="center" vertical="center"/>
    </xf>
    <xf numFmtId="0" fontId="27" fillId="0" borderId="15" xfId="0" applyFont="1" applyBorder="1" applyAlignment="1">
      <alignment horizontal="center" vertical="center" wrapText="1"/>
    </xf>
    <xf numFmtId="0" fontId="41" fillId="0" borderId="4" xfId="0" applyFont="1" applyBorder="1" applyAlignment="1">
      <alignment horizontal="center" vertical="center" wrapText="1"/>
    </xf>
    <xf numFmtId="177" fontId="36" fillId="0" borderId="13" xfId="0" applyNumberFormat="1" applyFont="1" applyBorder="1" applyAlignment="1">
      <alignment horizontal="center" vertical="center"/>
    </xf>
    <xf numFmtId="177" fontId="36" fillId="0" borderId="15" xfId="0" applyNumberFormat="1" applyFont="1" applyBorder="1" applyAlignment="1">
      <alignment horizontal="center" vertical="center"/>
    </xf>
    <xf numFmtId="0" fontId="105" fillId="0" borderId="4" xfId="0" applyFont="1" applyFill="1" applyBorder="1" applyAlignment="1">
      <alignment horizontal="center" vertical="center" wrapText="1"/>
    </xf>
    <xf numFmtId="198" fontId="2" fillId="0" borderId="13" xfId="0" applyNumberFormat="1" applyFont="1" applyBorder="1" applyAlignment="1">
      <alignment horizontal="center" vertical="center"/>
    </xf>
    <xf numFmtId="198" fontId="2" fillId="0" borderId="14" xfId="0" applyNumberFormat="1" applyFont="1" applyBorder="1" applyAlignment="1">
      <alignment horizontal="center" vertical="center"/>
    </xf>
    <xf numFmtId="0" fontId="26" fillId="10" borderId="19" xfId="0" applyFont="1" applyFill="1" applyBorder="1" applyAlignment="1">
      <alignment horizontal="center" vertical="center"/>
    </xf>
    <xf numFmtId="0" fontId="26" fillId="10" borderId="25" xfId="0" applyFont="1" applyFill="1" applyBorder="1" applyAlignment="1">
      <alignment horizontal="center" vertical="center"/>
    </xf>
    <xf numFmtId="177" fontId="100" fillId="0" borderId="97" xfId="0" applyNumberFormat="1" applyFont="1" applyFill="1" applyBorder="1" applyAlignment="1">
      <alignment horizontal="center" vertical="center"/>
    </xf>
    <xf numFmtId="177" fontId="100" fillId="0" borderId="0" xfId="0" applyNumberFormat="1" applyFont="1" applyFill="1" applyBorder="1" applyAlignment="1">
      <alignment horizontal="center" vertical="center"/>
    </xf>
    <xf numFmtId="0" fontId="36" fillId="15" borderId="13" xfId="0" applyFont="1" applyFill="1" applyBorder="1" applyAlignment="1">
      <alignment horizontal="center" vertical="center"/>
    </xf>
    <xf numFmtId="0" fontId="36" fillId="15" borderId="14" xfId="0" applyFont="1" applyFill="1" applyBorder="1" applyAlignment="1">
      <alignment horizontal="center" vertical="center"/>
    </xf>
    <xf numFmtId="191" fontId="26" fillId="0" borderId="10" xfId="0" applyNumberFormat="1" applyFont="1" applyBorder="1" applyAlignment="1">
      <alignment horizontal="center" vertical="center"/>
    </xf>
    <xf numFmtId="1" fontId="2" fillId="0" borderId="4" xfId="0" applyNumberFormat="1" applyFont="1" applyBorder="1" applyAlignment="1">
      <alignment horizontal="center" vertical="center"/>
    </xf>
    <xf numFmtId="167" fontId="9" fillId="0" borderId="13" xfId="0" applyNumberFormat="1" applyFont="1" applyBorder="1" applyAlignment="1">
      <alignment horizontal="center" vertical="center"/>
    </xf>
    <xf numFmtId="167" fontId="9" fillId="0" borderId="15" xfId="0" applyNumberFormat="1" applyFont="1" applyBorder="1" applyAlignment="1">
      <alignment horizontal="center" vertical="center"/>
    </xf>
    <xf numFmtId="0" fontId="9" fillId="12" borderId="4" xfId="0" applyFont="1" applyFill="1" applyBorder="1" applyAlignment="1">
      <alignment horizontal="center" vertical="center"/>
    </xf>
    <xf numFmtId="167" fontId="9" fillId="12" borderId="13" xfId="0" applyNumberFormat="1" applyFont="1" applyFill="1" applyBorder="1" applyAlignment="1">
      <alignment horizontal="center" vertical="center"/>
    </xf>
    <xf numFmtId="167" fontId="9" fillId="12" borderId="15" xfId="0" applyNumberFormat="1" applyFont="1" applyFill="1" applyBorder="1" applyAlignment="1">
      <alignment horizontal="center" vertical="center"/>
    </xf>
    <xf numFmtId="2" fontId="9" fillId="0" borderId="13" xfId="0" applyNumberFormat="1" applyFont="1" applyBorder="1" applyAlignment="1">
      <alignment horizontal="center" vertical="center" wrapText="1"/>
    </xf>
    <xf numFmtId="2" fontId="9" fillId="0" borderId="15" xfId="0" applyNumberFormat="1" applyFont="1" applyBorder="1" applyAlignment="1">
      <alignment horizontal="center" vertical="center" wrapText="1"/>
    </xf>
    <xf numFmtId="0" fontId="9" fillId="23" borderId="13" xfId="0" applyFont="1" applyFill="1" applyBorder="1" applyAlignment="1">
      <alignment horizontal="center" vertical="center"/>
    </xf>
    <xf numFmtId="2" fontId="9" fillId="12" borderId="4" xfId="0" applyNumberFormat="1" applyFont="1" applyFill="1" applyBorder="1" applyAlignment="1">
      <alignment horizontal="center" vertical="center"/>
    </xf>
    <xf numFmtId="0" fontId="9" fillId="23" borderId="1" xfId="0" applyFont="1" applyFill="1" applyBorder="1" applyAlignment="1">
      <alignment horizontal="center" vertical="center"/>
    </xf>
    <xf numFmtId="0" fontId="9" fillId="23" borderId="3" xfId="0" applyFont="1" applyFill="1" applyBorder="1" applyAlignment="1">
      <alignment horizontal="center" vertical="center"/>
    </xf>
    <xf numFmtId="2" fontId="2" fillId="0" borderId="1" xfId="0" applyNumberFormat="1" applyFont="1" applyBorder="1" applyAlignment="1">
      <alignment horizontal="center" vertical="center"/>
    </xf>
    <xf numFmtId="2" fontId="2" fillId="0" borderId="3" xfId="0" applyNumberFormat="1" applyFont="1" applyBorder="1" applyAlignment="1">
      <alignment horizontal="center" vertical="center"/>
    </xf>
    <xf numFmtId="2" fontId="2" fillId="0" borderId="5" xfId="0" applyNumberFormat="1" applyFont="1" applyBorder="1" applyAlignment="1">
      <alignment horizontal="center" vertical="center"/>
    </xf>
    <xf numFmtId="2" fontId="2" fillId="0" borderId="77" xfId="0" applyNumberFormat="1" applyFont="1" applyBorder="1" applyAlignment="1">
      <alignment horizontal="center" vertical="center"/>
    </xf>
    <xf numFmtId="2" fontId="9" fillId="0" borderId="13" xfId="0" applyNumberFormat="1" applyFont="1" applyBorder="1" applyAlignment="1">
      <alignment horizontal="center" vertical="center"/>
    </xf>
    <xf numFmtId="2" fontId="9" fillId="0" borderId="15" xfId="0" applyNumberFormat="1" applyFont="1" applyBorder="1" applyAlignment="1">
      <alignment horizontal="center" vertical="center"/>
    </xf>
    <xf numFmtId="0" fontId="9" fillId="23" borderId="28" xfId="0" applyFont="1" applyFill="1" applyBorder="1" applyAlignment="1">
      <alignment horizontal="center" vertical="center"/>
    </xf>
    <xf numFmtId="0" fontId="9" fillId="23" borderId="30" xfId="0" applyFont="1" applyFill="1" applyBorder="1" applyAlignment="1">
      <alignment horizontal="center" vertical="center"/>
    </xf>
    <xf numFmtId="2" fontId="2" fillId="0" borderId="4" xfId="0" applyNumberFormat="1" applyFont="1" applyBorder="1" applyAlignment="1">
      <alignment horizontal="center" vertical="center"/>
    </xf>
    <xf numFmtId="167" fontId="9" fillId="20" borderId="4" xfId="0" applyNumberFormat="1" applyFont="1" applyFill="1" applyBorder="1" applyAlignment="1">
      <alignment horizontal="center" vertical="center"/>
    </xf>
    <xf numFmtId="0" fontId="31" fillId="18" borderId="4" xfId="0" applyFont="1" applyFill="1" applyBorder="1" applyAlignment="1">
      <alignment horizontal="center" vertical="center" wrapText="1"/>
    </xf>
    <xf numFmtId="0" fontId="9" fillId="0" borderId="1" xfId="0" applyFont="1" applyBorder="1" applyAlignment="1">
      <alignment horizontal="center" vertical="center"/>
    </xf>
    <xf numFmtId="0" fontId="9" fillId="0" borderId="3" xfId="0" applyFont="1" applyBorder="1" applyAlignment="1">
      <alignment horizontal="center" vertical="center"/>
    </xf>
    <xf numFmtId="0" fontId="9" fillId="0" borderId="5" xfId="0" applyFont="1" applyBorder="1" applyAlignment="1">
      <alignment horizontal="center" vertical="center"/>
    </xf>
    <xf numFmtId="0" fontId="9" fillId="0" borderId="77" xfId="0" applyFont="1" applyBorder="1" applyAlignment="1">
      <alignment horizontal="center" vertical="center"/>
    </xf>
    <xf numFmtId="2" fontId="9" fillId="0" borderId="1" xfId="0" applyNumberFormat="1" applyFont="1" applyBorder="1" applyAlignment="1">
      <alignment horizontal="center" vertical="center" wrapText="1"/>
    </xf>
    <xf numFmtId="2" fontId="9" fillId="0" borderId="3" xfId="0" applyNumberFormat="1" applyFont="1" applyBorder="1" applyAlignment="1">
      <alignment horizontal="center" vertical="center" wrapText="1"/>
    </xf>
    <xf numFmtId="2" fontId="9" fillId="20" borderId="4" xfId="0" applyNumberFormat="1" applyFont="1" applyFill="1" applyBorder="1" applyAlignment="1">
      <alignment horizontal="center" vertical="center"/>
    </xf>
    <xf numFmtId="0" fontId="9" fillId="23" borderId="6" xfId="0" applyFont="1" applyFill="1" applyBorder="1" applyAlignment="1">
      <alignment horizontal="center" vertical="center"/>
    </xf>
    <xf numFmtId="0" fontId="9" fillId="23" borderId="8" xfId="0" applyFont="1" applyFill="1" applyBorder="1" applyAlignment="1">
      <alignment horizontal="center" vertical="center"/>
    </xf>
    <xf numFmtId="0" fontId="9" fillId="0" borderId="21" xfId="0" applyFont="1" applyBorder="1" applyAlignment="1">
      <alignment horizontal="center" vertical="center" wrapText="1"/>
    </xf>
    <xf numFmtId="0" fontId="9" fillId="0" borderId="22" xfId="0" applyFont="1" applyBorder="1" applyAlignment="1">
      <alignment horizontal="center" vertical="center" wrapText="1"/>
    </xf>
    <xf numFmtId="0" fontId="9" fillId="0" borderId="23" xfId="0" applyFont="1" applyBorder="1" applyAlignment="1">
      <alignment horizontal="center" vertical="center" wrapText="1"/>
    </xf>
    <xf numFmtId="0" fontId="9" fillId="0" borderId="4" xfId="0" applyFont="1" applyFill="1" applyBorder="1" applyAlignment="1">
      <alignment horizontal="center" vertical="center"/>
    </xf>
    <xf numFmtId="0" fontId="9" fillId="0" borderId="13" xfId="0" applyFont="1" applyFill="1" applyBorder="1" applyAlignment="1">
      <alignment horizontal="center" vertical="center"/>
    </xf>
    <xf numFmtId="1" fontId="12" fillId="0" borderId="4" xfId="0" applyNumberFormat="1" applyFont="1" applyFill="1" applyBorder="1" applyAlignment="1">
      <alignment horizontal="center" vertical="center"/>
    </xf>
    <xf numFmtId="0" fontId="100" fillId="0" borderId="97" xfId="0" applyFont="1" applyFill="1" applyBorder="1" applyAlignment="1">
      <alignment horizontal="center" vertical="center"/>
    </xf>
    <xf numFmtId="0" fontId="100" fillId="0" borderId="0" xfId="0" applyFont="1" applyFill="1" applyBorder="1" applyAlignment="1">
      <alignment horizontal="center" vertical="center"/>
    </xf>
    <xf numFmtId="0" fontId="24" fillId="18" borderId="5" xfId="0" applyFont="1" applyFill="1" applyBorder="1" applyAlignment="1">
      <alignment horizontal="left" vertical="center"/>
    </xf>
    <xf numFmtId="0" fontId="24" fillId="18" borderId="0" xfId="0" applyFont="1" applyFill="1" applyBorder="1" applyAlignment="1">
      <alignment horizontal="left" vertical="center"/>
    </xf>
    <xf numFmtId="0" fontId="24" fillId="18" borderId="6" xfId="0" applyFont="1" applyFill="1" applyBorder="1" applyAlignment="1">
      <alignment horizontal="left" vertical="center"/>
    </xf>
    <xf numFmtId="0" fontId="24" fillId="18" borderId="7" xfId="0" applyFont="1" applyFill="1" applyBorder="1" applyAlignment="1">
      <alignment horizontal="left" vertical="center"/>
    </xf>
    <xf numFmtId="0" fontId="9" fillId="0" borderId="21" xfId="0" applyFont="1" applyBorder="1" applyAlignment="1">
      <alignment horizontal="center" vertical="center"/>
    </xf>
    <xf numFmtId="0" fontId="9" fillId="0" borderId="23" xfId="0" applyFont="1" applyBorder="1" applyAlignment="1">
      <alignment horizontal="center" vertical="center"/>
    </xf>
    <xf numFmtId="0" fontId="26" fillId="0" borderId="0" xfId="0" applyFont="1" applyAlignment="1">
      <alignment horizontal="left" vertical="center" wrapText="1"/>
    </xf>
    <xf numFmtId="0" fontId="66" fillId="0" borderId="34" xfId="0" applyFont="1" applyFill="1" applyBorder="1" applyAlignment="1">
      <alignment horizontal="left" vertical="center" wrapText="1"/>
    </xf>
    <xf numFmtId="0" fontId="66" fillId="0" borderId="35" xfId="0" applyFont="1" applyFill="1" applyBorder="1" applyAlignment="1">
      <alignment horizontal="left" vertical="center" wrapText="1"/>
    </xf>
    <xf numFmtId="0" fontId="9" fillId="0" borderId="13" xfId="0" applyFont="1" applyBorder="1" applyAlignment="1">
      <alignment horizontal="left" vertical="center"/>
    </xf>
    <xf numFmtId="0" fontId="9" fillId="0" borderId="14" xfId="0" applyFont="1" applyBorder="1" applyAlignment="1">
      <alignment horizontal="left" vertical="center"/>
    </xf>
    <xf numFmtId="0" fontId="9" fillId="0" borderId="15" xfId="0" applyFont="1" applyBorder="1" applyAlignment="1">
      <alignment horizontal="left" vertical="center"/>
    </xf>
    <xf numFmtId="0" fontId="24" fillId="0" borderId="0" xfId="0" applyFont="1" applyAlignment="1">
      <alignment horizontal="left" vertical="center" wrapText="1"/>
    </xf>
    <xf numFmtId="0" fontId="12" fillId="0" borderId="4" xfId="0" applyFont="1" applyFill="1" applyBorder="1" applyAlignment="1">
      <alignment horizontal="center" vertical="center" wrapText="1"/>
    </xf>
    <xf numFmtId="0" fontId="65" fillId="0" borderId="33" xfId="0" applyFont="1" applyFill="1" applyBorder="1" applyAlignment="1">
      <alignment horizontal="right" vertical="center"/>
    </xf>
    <xf numFmtId="0" fontId="65" fillId="0" borderId="34" xfId="0" applyFont="1" applyFill="1" applyBorder="1" applyAlignment="1">
      <alignment horizontal="right" vertical="center"/>
    </xf>
    <xf numFmtId="0" fontId="36" fillId="0" borderId="4" xfId="0" applyFont="1" applyFill="1" applyBorder="1" applyAlignment="1">
      <alignment horizontal="center" vertical="center" wrapText="1"/>
    </xf>
    <xf numFmtId="166" fontId="12" fillId="0" borderId="4" xfId="0" applyNumberFormat="1" applyFont="1" applyFill="1" applyBorder="1" applyAlignment="1">
      <alignment horizontal="center" vertical="center"/>
    </xf>
    <xf numFmtId="0" fontId="36" fillId="15" borderId="1" xfId="0" applyFont="1" applyFill="1" applyBorder="1" applyAlignment="1">
      <alignment horizontal="center" vertical="center"/>
    </xf>
    <xf numFmtId="0" fontId="36" fillId="15" borderId="2" xfId="0" applyFont="1" applyFill="1" applyBorder="1" applyAlignment="1">
      <alignment horizontal="center" vertical="center"/>
    </xf>
    <xf numFmtId="0" fontId="36" fillId="15" borderId="6" xfId="0" applyFont="1" applyFill="1" applyBorder="1" applyAlignment="1">
      <alignment horizontal="center" vertical="center"/>
    </xf>
    <xf numFmtId="0" fontId="36" fillId="15" borderId="7" xfId="0" applyFont="1" applyFill="1" applyBorder="1" applyAlignment="1">
      <alignment horizontal="center" vertical="center"/>
    </xf>
    <xf numFmtId="1" fontId="17" fillId="0" borderId="13" xfId="0" applyNumberFormat="1" applyFont="1" applyFill="1" applyBorder="1" applyAlignment="1">
      <alignment horizontal="center" vertical="top" wrapText="1"/>
    </xf>
    <xf numFmtId="1" fontId="17" fillId="0" borderId="14" xfId="0" applyNumberFormat="1" applyFont="1" applyFill="1" applyBorder="1" applyAlignment="1">
      <alignment horizontal="center" vertical="top" wrapText="1"/>
    </xf>
    <xf numFmtId="1" fontId="17" fillId="0" borderId="15" xfId="0" applyNumberFormat="1" applyFont="1" applyFill="1" applyBorder="1" applyAlignment="1">
      <alignment horizontal="center" vertical="top" wrapText="1"/>
    </xf>
    <xf numFmtId="0" fontId="9" fillId="0" borderId="28" xfId="0" applyFont="1" applyFill="1" applyBorder="1" applyAlignment="1">
      <alignment horizontal="center" vertical="center"/>
    </xf>
    <xf numFmtId="0" fontId="9" fillId="0" borderId="30" xfId="0" applyFont="1" applyFill="1" applyBorder="1" applyAlignment="1">
      <alignment horizontal="center" vertical="center"/>
    </xf>
    <xf numFmtId="0" fontId="9" fillId="23" borderId="13" xfId="0" applyFont="1" applyFill="1" applyBorder="1" applyAlignment="1">
      <alignment horizontal="center" vertical="center" wrapText="1"/>
    </xf>
    <xf numFmtId="0" fontId="9" fillId="23" borderId="14" xfId="0" applyFont="1" applyFill="1" applyBorder="1" applyAlignment="1">
      <alignment horizontal="center" vertical="center" wrapText="1"/>
    </xf>
    <xf numFmtId="0" fontId="9" fillId="23" borderId="15" xfId="0" applyFont="1" applyFill="1" applyBorder="1" applyAlignment="1">
      <alignment horizontal="center" vertical="center" wrapText="1"/>
    </xf>
    <xf numFmtId="0" fontId="9" fillId="0" borderId="16" xfId="0" applyNumberFormat="1" applyFont="1" applyFill="1" applyBorder="1" applyAlignment="1">
      <alignment horizontal="center" vertical="center" wrapText="1"/>
    </xf>
    <xf numFmtId="2" fontId="2" fillId="0" borderId="4" xfId="0" applyNumberFormat="1" applyFont="1" applyBorder="1" applyAlignment="1">
      <alignment horizontal="center" vertical="center" wrapText="1"/>
    </xf>
    <xf numFmtId="2" fontId="2" fillId="12" borderId="4" xfId="0" applyNumberFormat="1" applyFont="1" applyFill="1" applyBorder="1" applyAlignment="1">
      <alignment horizontal="center" vertical="center" wrapText="1"/>
    </xf>
    <xf numFmtId="1" fontId="2" fillId="6" borderId="4" xfId="0" applyNumberFormat="1" applyFont="1" applyFill="1" applyBorder="1" applyAlignment="1">
      <alignment horizontal="center" vertical="center" wrapText="1"/>
    </xf>
    <xf numFmtId="0" fontId="11" fillId="0" borderId="0" xfId="0" applyFont="1" applyAlignment="1">
      <alignment horizontal="left" vertical="center"/>
    </xf>
    <xf numFmtId="0" fontId="15" fillId="0" borderId="0" xfId="0" applyFont="1" applyAlignment="1">
      <alignment horizontal="left" vertical="center"/>
    </xf>
    <xf numFmtId="0" fontId="83" fillId="0" borderId="0" xfId="0" applyFont="1" applyAlignment="1">
      <alignment horizontal="center" vertical="center"/>
    </xf>
    <xf numFmtId="0" fontId="11" fillId="0" borderId="0" xfId="0" applyFont="1" applyAlignment="1">
      <alignment horizontal="left" vertical="top" wrapText="1"/>
    </xf>
    <xf numFmtId="0" fontId="15" fillId="0" borderId="0" xfId="0" applyFont="1" applyAlignment="1">
      <alignment horizontal="left" vertical="top" wrapText="1"/>
    </xf>
    <xf numFmtId="0" fontId="11" fillId="0" borderId="0" xfId="0" applyFont="1" applyAlignment="1">
      <alignment vertical="center"/>
    </xf>
    <xf numFmtId="0" fontId="15" fillId="0" borderId="0" xfId="0" applyFont="1" applyAlignment="1">
      <alignment horizontal="left" vertical="center" wrapText="1"/>
    </xf>
    <xf numFmtId="0" fontId="26" fillId="0" borderId="0" xfId="0" applyFont="1" applyAlignment="1">
      <alignment horizontal="left" vertical="top"/>
    </xf>
    <xf numFmtId="0" fontId="11" fillId="0" borderId="0" xfId="0" applyFont="1" applyAlignment="1">
      <alignment horizontal="right" vertical="center"/>
    </xf>
    <xf numFmtId="0" fontId="11" fillId="0" borderId="0" xfId="0" applyFont="1" applyAlignment="1">
      <alignment horizontal="center" vertical="center"/>
    </xf>
    <xf numFmtId="191" fontId="15" fillId="0" borderId="0" xfId="0" applyNumberFormat="1" applyFont="1" applyAlignment="1">
      <alignment horizontal="left" vertical="top"/>
    </xf>
    <xf numFmtId="193" fontId="87" fillId="0" borderId="0" xfId="0" applyNumberFormat="1" applyFont="1" applyAlignment="1">
      <alignment horizontal="center"/>
    </xf>
    <xf numFmtId="0" fontId="14" fillId="0" borderId="0" xfId="0" applyFont="1" applyAlignment="1">
      <alignment horizontal="left" vertical="center"/>
    </xf>
    <xf numFmtId="177" fontId="14" fillId="0" borderId="0" xfId="0" applyNumberFormat="1" applyFont="1" applyAlignment="1">
      <alignment horizontal="left" vertical="center"/>
    </xf>
    <xf numFmtId="196" fontId="14" fillId="0" borderId="0" xfId="0" applyNumberFormat="1" applyFont="1" applyAlignment="1">
      <alignment horizontal="left" vertical="center"/>
    </xf>
    <xf numFmtId="193" fontId="26" fillId="0" borderId="0" xfId="0" applyNumberFormat="1" applyFont="1" applyAlignment="1">
      <alignment horizontal="left" vertical="top" wrapText="1"/>
    </xf>
    <xf numFmtId="195" fontId="14" fillId="0" borderId="0" xfId="0" applyNumberFormat="1" applyFont="1" applyAlignment="1">
      <alignment horizontal="left" vertical="center"/>
    </xf>
    <xf numFmtId="189" fontId="14" fillId="0" borderId="0" xfId="0" applyNumberFormat="1" applyFont="1" applyAlignment="1">
      <alignment horizontal="left" vertical="center"/>
    </xf>
    <xf numFmtId="0" fontId="18" fillId="0" borderId="0" xfId="0" applyFont="1" applyAlignment="1">
      <alignment horizontal="center" vertical="center" wrapText="1"/>
    </xf>
    <xf numFmtId="0" fontId="24" fillId="0" borderId="0" xfId="0" applyFont="1" applyAlignment="1">
      <alignment horizontal="left" vertical="top" wrapText="1"/>
    </xf>
    <xf numFmtId="0" fontId="35" fillId="30" borderId="11" xfId="5" applyFont="1" applyFill="1" applyBorder="1" applyAlignment="1">
      <alignment horizontal="left"/>
    </xf>
    <xf numFmtId="0" fontId="35" fillId="30" borderId="12" xfId="5" applyFont="1" applyFill="1" applyBorder="1" applyAlignment="1">
      <alignment horizontal="left"/>
    </xf>
    <xf numFmtId="1" fontId="35" fillId="29" borderId="11" xfId="5" applyNumberFormat="1" applyFont="1" applyFill="1" applyBorder="1" applyAlignment="1">
      <alignment horizontal="center"/>
    </xf>
    <xf numFmtId="1" fontId="35" fillId="29" borderId="18" xfId="5" applyNumberFormat="1" applyFont="1" applyFill="1" applyBorder="1" applyAlignment="1">
      <alignment horizontal="center"/>
    </xf>
    <xf numFmtId="1" fontId="35" fillId="29" borderId="12" xfId="5" applyNumberFormat="1" applyFont="1" applyFill="1" applyBorder="1" applyAlignment="1">
      <alignment horizontal="center"/>
    </xf>
    <xf numFmtId="0" fontId="9" fillId="29" borderId="88" xfId="5" applyFont="1" applyFill="1" applyBorder="1" applyAlignment="1">
      <alignment horizontal="center" vertical="center" textRotation="90"/>
    </xf>
    <xf numFmtId="0" fontId="9" fillId="29" borderId="89" xfId="5" applyFont="1" applyFill="1" applyBorder="1" applyAlignment="1">
      <alignment horizontal="center" vertical="center" textRotation="90"/>
    </xf>
    <xf numFmtId="0" fontId="9" fillId="29" borderId="90" xfId="5" applyFont="1" applyFill="1" applyBorder="1" applyAlignment="1">
      <alignment horizontal="center" vertical="center" textRotation="90"/>
    </xf>
    <xf numFmtId="0" fontId="9" fillId="29" borderId="91" xfId="5" applyFont="1" applyFill="1" applyBorder="1" applyAlignment="1">
      <alignment horizontal="center" vertical="center" textRotation="90"/>
    </xf>
    <xf numFmtId="0" fontId="9" fillId="29" borderId="21" xfId="5" applyFont="1" applyFill="1" applyBorder="1" applyAlignment="1">
      <alignment horizontal="center" vertical="center" textRotation="90"/>
    </xf>
    <xf numFmtId="0" fontId="9" fillId="29" borderId="22" xfId="5" applyFont="1" applyFill="1" applyBorder="1" applyAlignment="1">
      <alignment horizontal="center" vertical="center" textRotation="90"/>
    </xf>
    <xf numFmtId="0" fontId="9" fillId="29" borderId="23" xfId="5" applyFont="1" applyFill="1" applyBorder="1" applyAlignment="1">
      <alignment horizontal="center" vertical="center" textRotation="90"/>
    </xf>
    <xf numFmtId="0" fontId="35" fillId="30" borderId="95" xfId="5" applyFont="1" applyFill="1" applyBorder="1" applyAlignment="1">
      <alignment horizontal="left"/>
    </xf>
    <xf numFmtId="0" fontId="35" fillId="30" borderId="96" xfId="5" applyFont="1" applyFill="1" applyBorder="1" applyAlignment="1">
      <alignment horizontal="left"/>
    </xf>
    <xf numFmtId="0" fontId="35" fillId="5" borderId="0" xfId="5" applyFont="1" applyFill="1" applyAlignment="1">
      <alignment horizontal="center"/>
    </xf>
    <xf numFmtId="0" fontId="8" fillId="28" borderId="11" xfId="5" applyFont="1" applyFill="1" applyBorder="1" applyAlignment="1">
      <alignment horizontal="center" vertical="center"/>
    </xf>
    <xf numFmtId="0" fontId="8" fillId="28" borderId="18" xfId="5" applyFont="1" applyFill="1" applyBorder="1" applyAlignment="1">
      <alignment horizontal="center" vertical="center"/>
    </xf>
    <xf numFmtId="0" fontId="8" fillId="28" borderId="12" xfId="5" applyFont="1" applyFill="1" applyBorder="1" applyAlignment="1">
      <alignment horizontal="center" vertical="center"/>
    </xf>
    <xf numFmtId="0" fontId="27" fillId="29" borderId="11" xfId="5" applyFont="1" applyFill="1" applyBorder="1" applyAlignment="1">
      <alignment horizontal="center"/>
    </xf>
    <xf numFmtId="0" fontId="27" fillId="29" borderId="12" xfId="5" applyFont="1" applyFill="1" applyBorder="1" applyAlignment="1">
      <alignment horizontal="center"/>
    </xf>
    <xf numFmtId="0" fontId="35" fillId="30" borderId="19" xfId="5" applyFont="1" applyFill="1" applyBorder="1" applyAlignment="1">
      <alignment horizontal="left"/>
    </xf>
    <xf numFmtId="0" fontId="35" fillId="30" borderId="20" xfId="5" applyFont="1" applyFill="1" applyBorder="1" applyAlignment="1">
      <alignment horizontal="left"/>
    </xf>
    <xf numFmtId="0" fontId="9" fillId="29" borderId="43" xfId="5" applyFont="1" applyFill="1" applyBorder="1" applyAlignment="1">
      <alignment horizontal="center" vertical="center" textRotation="90"/>
    </xf>
    <xf numFmtId="0" fontId="9" fillId="29" borderId="47" xfId="5" applyFont="1" applyFill="1" applyBorder="1" applyAlignment="1">
      <alignment horizontal="center" vertical="center" textRotation="90"/>
    </xf>
    <xf numFmtId="0" fontId="9" fillId="29" borderId="41" xfId="5" applyFont="1" applyFill="1" applyBorder="1" applyAlignment="1">
      <alignment horizontal="center" vertical="center" textRotation="90"/>
    </xf>
  </cellXfs>
  <cellStyles count="6">
    <cellStyle name="Comma" xfId="4" builtinId="3"/>
    <cellStyle name="Milliers 2" xfId="2" xr:uid="{00000000-0005-0000-0000-000001000000}"/>
    <cellStyle name="Normal" xfId="0" builtinId="0"/>
    <cellStyle name="Normal 2" xfId="5" xr:uid="{00000000-0005-0000-0000-000003000000}"/>
    <cellStyle name="Normal 3 2" xfId="3" xr:uid="{00000000-0005-0000-0000-000004000000}"/>
    <cellStyle name="Percent" xfId="1" builtinId="5"/>
  </cellStyles>
  <dxfs count="36">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patternFill>
          <bgColor rgb="FF00B050"/>
        </patternFill>
      </fill>
      <border>
        <left style="thin">
          <color auto="1"/>
        </left>
        <right style="thin">
          <color auto="1"/>
        </right>
        <top style="thin">
          <color auto="1"/>
        </top>
        <bottom style="thin">
          <color auto="1"/>
        </bottom>
        <vertical/>
        <horizontal/>
      </border>
    </dxf>
    <dxf>
      <font>
        <color rgb="FFFF0000"/>
      </font>
    </dxf>
    <dxf>
      <font>
        <color auto="1"/>
      </font>
      <fill>
        <patternFill>
          <bgColor rgb="FFFF0000"/>
        </patternFill>
      </fill>
    </dxf>
    <dxf>
      <fill>
        <patternFill>
          <bgColor theme="9" tint="0.79998168889431442"/>
        </patternFill>
      </fill>
    </dxf>
    <dxf>
      <font>
        <color theme="0"/>
      </font>
      <fill>
        <patternFill>
          <bgColor rgb="FF00B050"/>
        </patternFill>
      </fill>
      <border>
        <left style="thin">
          <color auto="1"/>
        </left>
        <right style="thin">
          <color auto="1"/>
        </right>
        <top style="thin">
          <color auto="1"/>
        </top>
        <bottom style="thin">
          <color auto="1"/>
        </bottom>
        <vertical/>
        <horizontal/>
      </border>
    </dxf>
    <dxf>
      <font>
        <color rgb="FFFF0000"/>
      </font>
    </dxf>
    <dxf>
      <font>
        <color auto="1"/>
      </font>
      <fill>
        <patternFill>
          <bgColor rgb="FFFF0000"/>
        </patternFill>
      </fill>
    </dxf>
    <dxf>
      <fill>
        <patternFill>
          <bgColor theme="9" tint="0.79998168889431442"/>
        </patternFill>
      </fill>
    </dxf>
    <dxf>
      <font>
        <color auto="1"/>
      </font>
      <fill>
        <patternFill>
          <bgColor rgb="FFFF0000"/>
        </patternFill>
      </fill>
    </dxf>
    <dxf>
      <fill>
        <patternFill>
          <bgColor theme="9" tint="0.79998168889431442"/>
        </patternFill>
      </fill>
    </dxf>
    <dxf>
      <font>
        <color rgb="FFC00000"/>
      </font>
    </dxf>
    <dxf>
      <fill>
        <patternFill>
          <bgColor rgb="FFFF0000"/>
        </patternFill>
      </fill>
    </dxf>
    <dxf>
      <font>
        <b/>
        <i val="0"/>
        <color rgb="FF002060"/>
      </font>
    </dxf>
    <dxf>
      <font>
        <color rgb="FFFF0000"/>
      </font>
    </dxf>
    <dxf>
      <font>
        <color theme="0"/>
      </font>
      <fill>
        <patternFill>
          <bgColor rgb="FF00B050"/>
        </patternFill>
      </fill>
      <border>
        <left style="thin">
          <color auto="1"/>
        </left>
        <right style="thin">
          <color auto="1"/>
        </right>
        <top style="thin">
          <color auto="1"/>
        </top>
        <bottom style="thin">
          <color auto="1"/>
        </bottom>
        <vertical/>
        <horizontal/>
      </border>
    </dxf>
    <dxf>
      <font>
        <color auto="1"/>
      </font>
      <fill>
        <patternFill>
          <bgColor rgb="FFFF0000"/>
        </patternFill>
      </fill>
    </dxf>
    <dxf>
      <fill>
        <patternFill>
          <bgColor theme="9" tint="0.799981688894314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auto="1"/>
      </font>
      <fill>
        <patternFill>
          <bgColor indexed="1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auto="1"/>
      </font>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w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2166937</xdr:colOff>
      <xdr:row>0</xdr:row>
      <xdr:rowOff>153458</xdr:rowOff>
    </xdr:from>
    <xdr:to>
      <xdr:col>3</xdr:col>
      <xdr:colOff>22490</xdr:colOff>
      <xdr:row>1</xdr:row>
      <xdr:rowOff>189178</xdr:rowOff>
    </xdr:to>
    <xdr:sp macro="[0]!copie_as_image1" textlink="">
      <xdr:nvSpPr>
        <xdr:cNvPr id="3" name="Rectangle 2">
          <a:extLst>
            <a:ext uri="{FF2B5EF4-FFF2-40B4-BE49-F238E27FC236}">
              <a16:creationId xmlns:a16="http://schemas.microsoft.com/office/drawing/2014/main" id="{00000000-0008-0000-0100-000003000000}"/>
            </a:ext>
          </a:extLst>
        </xdr:cNvPr>
        <xdr:cNvSpPr/>
      </xdr:nvSpPr>
      <xdr:spPr>
        <a:xfrm>
          <a:off x="2869406" y="153458"/>
          <a:ext cx="1344084" cy="369095"/>
        </a:xfrm>
        <a:prstGeom prst="rect">
          <a:avLst/>
        </a:prstGeom>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latin typeface="Times New Roman" panose="02020603050405020304" pitchFamily="18" charset="0"/>
              <a:cs typeface="Times New Roman" panose="02020603050405020304" pitchFamily="18" charset="0"/>
            </a:rPr>
            <a:t>COPIE</a:t>
          </a:r>
          <a:r>
            <a:rPr lang="en-GB" sz="1100" baseline="0">
              <a:latin typeface="Times New Roman" panose="02020603050405020304" pitchFamily="18" charset="0"/>
              <a:cs typeface="Times New Roman" panose="02020603050405020304" pitchFamily="18" charset="0"/>
            </a:rPr>
            <a:t> AS IMAGE</a:t>
          </a:r>
          <a:endParaRPr lang="en-GB" sz="1100">
            <a:latin typeface="Times New Roman" panose="02020603050405020304" pitchFamily="18" charset="0"/>
            <a:cs typeface="Times New Roman" panose="02020603050405020304" pitchFamily="18" charset="0"/>
          </a:endParaRPr>
        </a:p>
      </xdr:txBody>
    </xdr:sp>
    <xdr:clientData/>
  </xdr:twoCellAnchor>
  <xdr:twoCellAnchor>
    <xdr:from>
      <xdr:col>6</xdr:col>
      <xdr:colOff>1676135</xdr:colOff>
      <xdr:row>0</xdr:row>
      <xdr:rowOff>142874</xdr:rowOff>
    </xdr:from>
    <xdr:to>
      <xdr:col>7</xdr:col>
      <xdr:colOff>234156</xdr:colOff>
      <xdr:row>1</xdr:row>
      <xdr:rowOff>178594</xdr:rowOff>
    </xdr:to>
    <xdr:sp macro="[0]!copie_as_image2" textlink="">
      <xdr:nvSpPr>
        <xdr:cNvPr id="4" name="Rectangle 3">
          <a:extLst>
            <a:ext uri="{FF2B5EF4-FFF2-40B4-BE49-F238E27FC236}">
              <a16:creationId xmlns:a16="http://schemas.microsoft.com/office/drawing/2014/main" id="{00000000-0008-0000-0100-000004000000}"/>
            </a:ext>
          </a:extLst>
        </xdr:cNvPr>
        <xdr:cNvSpPr/>
      </xdr:nvSpPr>
      <xdr:spPr>
        <a:xfrm>
          <a:off x="8355541" y="142874"/>
          <a:ext cx="1344084" cy="369095"/>
        </a:xfrm>
        <a:prstGeom prst="rect">
          <a:avLst/>
        </a:prstGeom>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latin typeface="Times New Roman" panose="02020603050405020304" pitchFamily="18" charset="0"/>
              <a:cs typeface="Times New Roman" panose="02020603050405020304" pitchFamily="18" charset="0"/>
            </a:rPr>
            <a:t>COPIE</a:t>
          </a:r>
          <a:r>
            <a:rPr lang="en-GB" sz="1100" baseline="0">
              <a:latin typeface="Times New Roman" panose="02020603050405020304" pitchFamily="18" charset="0"/>
              <a:cs typeface="Times New Roman" panose="02020603050405020304" pitchFamily="18" charset="0"/>
            </a:rPr>
            <a:t> AS IMAGE</a:t>
          </a:r>
          <a:endParaRPr lang="en-GB" sz="1100">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197</xdr:row>
          <xdr:rowOff>0</xdr:rowOff>
        </xdr:from>
        <xdr:to>
          <xdr:col>1</xdr:col>
          <xdr:colOff>647700</xdr:colOff>
          <xdr:row>197</xdr:row>
          <xdr:rowOff>0</xdr:rowOff>
        </xdr:to>
        <xdr:sp macro="" textlink="">
          <xdr:nvSpPr>
            <xdr:cNvPr id="1025" name=" 42"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213360</xdr:colOff>
          <xdr:row>203</xdr:row>
          <xdr:rowOff>0</xdr:rowOff>
        </xdr:from>
        <xdr:to>
          <xdr:col>3</xdr:col>
          <xdr:colOff>350520</xdr:colOff>
          <xdr:row>203</xdr:row>
          <xdr:rowOff>0</xdr:rowOff>
        </xdr:to>
        <xdr:sp macro="" textlink="">
          <xdr:nvSpPr>
            <xdr:cNvPr id="1026" name=" 54"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197</xdr:row>
          <xdr:rowOff>0</xdr:rowOff>
        </xdr:from>
        <xdr:to>
          <xdr:col>1</xdr:col>
          <xdr:colOff>556260</xdr:colOff>
          <xdr:row>197</xdr:row>
          <xdr:rowOff>0</xdr:rowOff>
        </xdr:to>
        <xdr:sp macro="" textlink="">
          <xdr:nvSpPr>
            <xdr:cNvPr id="1027" name=" 57"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0</xdr:colOff>
      <xdr:row>115</xdr:row>
      <xdr:rowOff>320040</xdr:rowOff>
    </xdr:from>
    <xdr:to>
      <xdr:col>15</xdr:col>
      <xdr:colOff>0</xdr:colOff>
      <xdr:row>116</xdr:row>
      <xdr:rowOff>163830</xdr:rowOff>
    </xdr:to>
    <xdr:sp macro="[0]!forage_hide" textlink="">
      <xdr:nvSpPr>
        <xdr:cNvPr id="2" name="Rectangle: Rounded Corners 1">
          <a:extLst>
            <a:ext uri="{FF2B5EF4-FFF2-40B4-BE49-F238E27FC236}">
              <a16:creationId xmlns:a16="http://schemas.microsoft.com/office/drawing/2014/main" id="{00000000-0008-0000-0300-000002000000}"/>
            </a:ext>
          </a:extLst>
        </xdr:cNvPr>
        <xdr:cNvSpPr/>
      </xdr:nvSpPr>
      <xdr:spPr>
        <a:xfrm>
          <a:off x="8534400" y="26098500"/>
          <a:ext cx="822960" cy="26289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a:t>Hide</a:t>
          </a:r>
        </a:p>
      </xdr:txBody>
    </xdr:sp>
    <xdr:clientData/>
  </xdr:twoCellAnchor>
  <xdr:twoCellAnchor>
    <xdr:from>
      <xdr:col>15</xdr:col>
      <xdr:colOff>60960</xdr:colOff>
      <xdr:row>115</xdr:row>
      <xdr:rowOff>320040</xdr:rowOff>
    </xdr:from>
    <xdr:to>
      <xdr:col>16</xdr:col>
      <xdr:colOff>60960</xdr:colOff>
      <xdr:row>116</xdr:row>
      <xdr:rowOff>163830</xdr:rowOff>
    </xdr:to>
    <xdr:sp macro="[0]!forage_show" textlink="">
      <xdr:nvSpPr>
        <xdr:cNvPr id="7" name="Rectangle: Rounded Corners 6">
          <a:extLst>
            <a:ext uri="{FF2B5EF4-FFF2-40B4-BE49-F238E27FC236}">
              <a16:creationId xmlns:a16="http://schemas.microsoft.com/office/drawing/2014/main" id="{00000000-0008-0000-0300-000007000000}"/>
            </a:ext>
          </a:extLst>
        </xdr:cNvPr>
        <xdr:cNvSpPr/>
      </xdr:nvSpPr>
      <xdr:spPr>
        <a:xfrm>
          <a:off x="9418320" y="26098500"/>
          <a:ext cx="822960" cy="26289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a:t>Show</a:t>
          </a:r>
        </a:p>
      </xdr:txBody>
    </xdr:sp>
    <xdr:clientData/>
  </xdr:twoCellAnchor>
  <xdr:twoCellAnchor>
    <xdr:from>
      <xdr:col>15</xdr:col>
      <xdr:colOff>19050</xdr:colOff>
      <xdr:row>99</xdr:row>
      <xdr:rowOff>85725</xdr:rowOff>
    </xdr:from>
    <xdr:to>
      <xdr:col>16</xdr:col>
      <xdr:colOff>114300</xdr:colOff>
      <xdr:row>100</xdr:row>
      <xdr:rowOff>76200</xdr:rowOff>
    </xdr:to>
    <xdr:sp macro="[0]!culture_hide" textlink="">
      <xdr:nvSpPr>
        <xdr:cNvPr id="8" name="Rectangle 7">
          <a:extLst>
            <a:ext uri="{FF2B5EF4-FFF2-40B4-BE49-F238E27FC236}">
              <a16:creationId xmlns:a16="http://schemas.microsoft.com/office/drawing/2014/main" id="{00000000-0008-0000-0300-000008000000}"/>
            </a:ext>
          </a:extLst>
        </xdr:cNvPr>
        <xdr:cNvSpPr/>
      </xdr:nvSpPr>
      <xdr:spPr>
        <a:xfrm>
          <a:off x="9077325" y="31013400"/>
          <a:ext cx="895350" cy="2667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a:t>Hide</a:t>
          </a:r>
        </a:p>
      </xdr:txBody>
    </xdr:sp>
    <xdr:clientData/>
  </xdr:twoCellAnchor>
  <xdr:twoCellAnchor>
    <xdr:from>
      <xdr:col>16</xdr:col>
      <xdr:colOff>381000</xdr:colOff>
      <xdr:row>99</xdr:row>
      <xdr:rowOff>85725</xdr:rowOff>
    </xdr:from>
    <xdr:to>
      <xdr:col>17</xdr:col>
      <xdr:colOff>476250</xdr:colOff>
      <xdr:row>100</xdr:row>
      <xdr:rowOff>76200</xdr:rowOff>
    </xdr:to>
    <xdr:sp macro="[0]!culture_show" textlink="">
      <xdr:nvSpPr>
        <xdr:cNvPr id="9" name="Rectangle 8">
          <a:extLst>
            <a:ext uri="{FF2B5EF4-FFF2-40B4-BE49-F238E27FC236}">
              <a16:creationId xmlns:a16="http://schemas.microsoft.com/office/drawing/2014/main" id="{00000000-0008-0000-0300-000009000000}"/>
            </a:ext>
          </a:extLst>
        </xdr:cNvPr>
        <xdr:cNvSpPr/>
      </xdr:nvSpPr>
      <xdr:spPr>
        <a:xfrm>
          <a:off x="10239375" y="31013400"/>
          <a:ext cx="895350" cy="2667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a:t>Show</a:t>
          </a:r>
        </a:p>
      </xdr:txBody>
    </xdr:sp>
    <xdr:clientData/>
  </xdr:twoCellAnchor>
  <xdr:twoCellAnchor>
    <xdr:from>
      <xdr:col>13</xdr:col>
      <xdr:colOff>815340</xdr:colOff>
      <xdr:row>116</xdr:row>
      <xdr:rowOff>224790</xdr:rowOff>
    </xdr:from>
    <xdr:to>
      <xdr:col>16</xdr:col>
      <xdr:colOff>68580</xdr:colOff>
      <xdr:row>118</xdr:row>
      <xdr:rowOff>0</xdr:rowOff>
    </xdr:to>
    <xdr:sp macro="[0]!ScrollToCell" textlink="">
      <xdr:nvSpPr>
        <xdr:cNvPr id="12" name="Rectangle: Rounded Corners 11">
          <a:extLst>
            <a:ext uri="{FF2B5EF4-FFF2-40B4-BE49-F238E27FC236}">
              <a16:creationId xmlns:a16="http://schemas.microsoft.com/office/drawing/2014/main" id="{00000000-0008-0000-0300-00000C000000}"/>
            </a:ext>
          </a:extLst>
        </xdr:cNvPr>
        <xdr:cNvSpPr/>
      </xdr:nvSpPr>
      <xdr:spPr>
        <a:xfrm>
          <a:off x="8526780" y="26422350"/>
          <a:ext cx="1722120" cy="262890"/>
        </a:xfrm>
        <a:prstGeom prst="round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a:t>Scroll</a:t>
          </a:r>
        </a:p>
      </xdr:txBody>
    </xdr:sp>
    <xdr:clientData/>
  </xdr:twoCellAnchor>
  <xdr:twoCellAnchor>
    <xdr:from>
      <xdr:col>16</xdr:col>
      <xdr:colOff>161925</xdr:colOff>
      <xdr:row>336</xdr:row>
      <xdr:rowOff>190500</xdr:rowOff>
    </xdr:from>
    <xdr:to>
      <xdr:col>17</xdr:col>
      <xdr:colOff>257175</xdr:colOff>
      <xdr:row>338</xdr:row>
      <xdr:rowOff>66675</xdr:rowOff>
    </xdr:to>
    <xdr:sp macro="[0]!ScrollToCell2" textlink="">
      <xdr:nvSpPr>
        <xdr:cNvPr id="13" name="Rectangle 12">
          <a:extLst>
            <a:ext uri="{FF2B5EF4-FFF2-40B4-BE49-F238E27FC236}">
              <a16:creationId xmlns:a16="http://schemas.microsoft.com/office/drawing/2014/main" id="{00000000-0008-0000-0300-00000D000000}"/>
            </a:ext>
          </a:extLst>
        </xdr:cNvPr>
        <xdr:cNvSpPr/>
      </xdr:nvSpPr>
      <xdr:spPr>
        <a:xfrm>
          <a:off x="10020300" y="109451775"/>
          <a:ext cx="895350" cy="2667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a:t>Scroll</a:t>
          </a:r>
        </a:p>
      </xdr:txBody>
    </xdr:sp>
    <xdr:clientData/>
  </xdr:twoCellAnchor>
  <xdr:twoCellAnchor>
    <xdr:from>
      <xdr:col>4</xdr:col>
      <xdr:colOff>66675</xdr:colOff>
      <xdr:row>452</xdr:row>
      <xdr:rowOff>152400</xdr:rowOff>
    </xdr:from>
    <xdr:to>
      <xdr:col>8</xdr:col>
      <xdr:colOff>47625</xdr:colOff>
      <xdr:row>454</xdr:row>
      <xdr:rowOff>66675</xdr:rowOff>
    </xdr:to>
    <xdr:sp macro="[0]!ScrollToTopLeft" textlink="">
      <xdr:nvSpPr>
        <xdr:cNvPr id="4" name="Rectangle 3">
          <a:extLst>
            <a:ext uri="{FF2B5EF4-FFF2-40B4-BE49-F238E27FC236}">
              <a16:creationId xmlns:a16="http://schemas.microsoft.com/office/drawing/2014/main" id="{00000000-0008-0000-0300-000004000000}"/>
            </a:ext>
          </a:extLst>
        </xdr:cNvPr>
        <xdr:cNvSpPr/>
      </xdr:nvSpPr>
      <xdr:spPr>
        <a:xfrm>
          <a:off x="2552700" y="128816100"/>
          <a:ext cx="2190750" cy="3143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a:latin typeface="Times New Roman" panose="02020603050405020304" pitchFamily="18" charset="0"/>
              <a:cs typeface="Times New Roman" panose="02020603050405020304" pitchFamily="18" charset="0"/>
            </a:rPr>
            <a:t>Scroll to top</a:t>
          </a:r>
        </a:p>
      </xdr:txBody>
    </xdr:sp>
    <xdr:clientData/>
  </xdr:twoCellAnchor>
  <xdr:twoCellAnchor>
    <xdr:from>
      <xdr:col>14</xdr:col>
      <xdr:colOff>257175</xdr:colOff>
      <xdr:row>1</xdr:row>
      <xdr:rowOff>123825</xdr:rowOff>
    </xdr:from>
    <xdr:to>
      <xdr:col>16</xdr:col>
      <xdr:colOff>228600</xdr:colOff>
      <xdr:row>2</xdr:row>
      <xdr:rowOff>257175</xdr:rowOff>
    </xdr:to>
    <xdr:sp macro="[0]!print_out" textlink="">
      <xdr:nvSpPr>
        <xdr:cNvPr id="5" name="Rectangle 4">
          <a:extLst>
            <a:ext uri="{FF2B5EF4-FFF2-40B4-BE49-F238E27FC236}">
              <a16:creationId xmlns:a16="http://schemas.microsoft.com/office/drawing/2014/main" id="{00000000-0008-0000-0300-000005000000}"/>
            </a:ext>
          </a:extLst>
        </xdr:cNvPr>
        <xdr:cNvSpPr/>
      </xdr:nvSpPr>
      <xdr:spPr>
        <a:xfrm>
          <a:off x="8515350" y="447675"/>
          <a:ext cx="1571625" cy="457200"/>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400">
              <a:latin typeface="Times New Roman" panose="02020603050405020304" pitchFamily="18" charset="0"/>
              <a:cs typeface="Times New Roman" panose="02020603050405020304" pitchFamily="18" charset="0"/>
            </a:rPr>
            <a:t>Convert</a:t>
          </a:r>
          <a:r>
            <a:rPr lang="en-GB" sz="1400" baseline="0">
              <a:latin typeface="Times New Roman" panose="02020603050405020304" pitchFamily="18" charset="0"/>
              <a:cs typeface="Times New Roman" panose="02020603050405020304" pitchFamily="18" charset="0"/>
            </a:rPr>
            <a:t> PDF</a:t>
          </a:r>
          <a:endParaRPr lang="en-GB" sz="1400">
            <a:latin typeface="Times New Roman" panose="02020603050405020304" pitchFamily="18" charset="0"/>
            <a:cs typeface="Times New Roman" panose="02020603050405020304" pitchFamily="18" charset="0"/>
          </a:endParaRPr>
        </a:p>
      </xdr:txBody>
    </xdr:sp>
    <xdr:clientData/>
  </xdr:twoCellAnchor>
  <xdr:twoCellAnchor>
    <xdr:from>
      <xdr:col>14</xdr:col>
      <xdr:colOff>95250</xdr:colOff>
      <xdr:row>163</xdr:row>
      <xdr:rowOff>152400</xdr:rowOff>
    </xdr:from>
    <xdr:to>
      <xdr:col>15</xdr:col>
      <xdr:colOff>247650</xdr:colOff>
      <xdr:row>165</xdr:row>
      <xdr:rowOff>114300</xdr:rowOff>
    </xdr:to>
    <xdr:sp macro="[0]!hidevide" textlink="">
      <xdr:nvSpPr>
        <xdr:cNvPr id="14" name="Rectangle 13">
          <a:extLst>
            <a:ext uri="{FF2B5EF4-FFF2-40B4-BE49-F238E27FC236}">
              <a16:creationId xmlns:a16="http://schemas.microsoft.com/office/drawing/2014/main" id="{00000000-0008-0000-0300-00000E000000}"/>
            </a:ext>
          </a:extLst>
        </xdr:cNvPr>
        <xdr:cNvSpPr/>
      </xdr:nvSpPr>
      <xdr:spPr>
        <a:xfrm>
          <a:off x="8353425" y="37795200"/>
          <a:ext cx="952500"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latin typeface="Times New Roman" panose="02020603050405020304" pitchFamily="18" charset="0"/>
              <a:cs typeface="Times New Roman" panose="02020603050405020304" pitchFamily="18" charset="0"/>
            </a:rPr>
            <a:t>Hide vide</a:t>
          </a:r>
        </a:p>
      </xdr:txBody>
    </xdr:sp>
    <xdr:clientData/>
  </xdr:twoCellAnchor>
  <xdr:twoCellAnchor>
    <xdr:from>
      <xdr:col>15</xdr:col>
      <xdr:colOff>447675</xdr:colOff>
      <xdr:row>163</xdr:row>
      <xdr:rowOff>152400</xdr:rowOff>
    </xdr:from>
    <xdr:to>
      <xdr:col>16</xdr:col>
      <xdr:colOff>600075</xdr:colOff>
      <xdr:row>165</xdr:row>
      <xdr:rowOff>114300</xdr:rowOff>
    </xdr:to>
    <xdr:sp macro="[0]!showvide" textlink="">
      <xdr:nvSpPr>
        <xdr:cNvPr id="16" name="Rectangle 15">
          <a:extLst>
            <a:ext uri="{FF2B5EF4-FFF2-40B4-BE49-F238E27FC236}">
              <a16:creationId xmlns:a16="http://schemas.microsoft.com/office/drawing/2014/main" id="{00000000-0008-0000-0300-000010000000}"/>
            </a:ext>
          </a:extLst>
        </xdr:cNvPr>
        <xdr:cNvSpPr/>
      </xdr:nvSpPr>
      <xdr:spPr>
        <a:xfrm>
          <a:off x="9505950" y="37795200"/>
          <a:ext cx="952500"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latin typeface="Times New Roman" panose="02020603050405020304" pitchFamily="18" charset="0"/>
              <a:cs typeface="Times New Roman" panose="02020603050405020304" pitchFamily="18" charset="0"/>
            </a:rPr>
            <a:t>Show vide</a:t>
          </a:r>
        </a:p>
      </xdr:txBody>
    </xdr:sp>
    <xdr:clientData/>
  </xdr:twoCellAnchor>
  <xdr:twoCellAnchor>
    <xdr:from>
      <xdr:col>14</xdr:col>
      <xdr:colOff>600075</xdr:colOff>
      <xdr:row>20</xdr:row>
      <xdr:rowOff>123825</xdr:rowOff>
    </xdr:from>
    <xdr:to>
      <xdr:col>16</xdr:col>
      <xdr:colOff>390525</xdr:colOff>
      <xdr:row>20</xdr:row>
      <xdr:rowOff>390525</xdr:rowOff>
    </xdr:to>
    <xdr:sp macro="[0]!CamelCase" textlink="">
      <xdr:nvSpPr>
        <xdr:cNvPr id="15" name="Rectangle 14">
          <a:extLst>
            <a:ext uri="{FF2B5EF4-FFF2-40B4-BE49-F238E27FC236}">
              <a16:creationId xmlns:a16="http://schemas.microsoft.com/office/drawing/2014/main" id="{00000000-0008-0000-0300-00000F000000}"/>
            </a:ext>
          </a:extLst>
        </xdr:cNvPr>
        <xdr:cNvSpPr/>
      </xdr:nvSpPr>
      <xdr:spPr>
        <a:xfrm>
          <a:off x="8858250" y="5895975"/>
          <a:ext cx="1390650" cy="2667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a:t>Camel Case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0</xdr:colOff>
      <xdr:row>3</xdr:row>
      <xdr:rowOff>9525</xdr:rowOff>
    </xdr:from>
    <xdr:to>
      <xdr:col>18</xdr:col>
      <xdr:colOff>142875</xdr:colOff>
      <xdr:row>4</xdr:row>
      <xdr:rowOff>133350</xdr:rowOff>
    </xdr:to>
    <xdr:sp macro="[0]!print_out" textlink="">
      <xdr:nvSpPr>
        <xdr:cNvPr id="2" name="Rectangle 1">
          <a:extLst>
            <a:ext uri="{FF2B5EF4-FFF2-40B4-BE49-F238E27FC236}">
              <a16:creationId xmlns:a16="http://schemas.microsoft.com/office/drawing/2014/main" id="{00000000-0008-0000-0400-000002000000}"/>
            </a:ext>
          </a:extLst>
        </xdr:cNvPr>
        <xdr:cNvSpPr/>
      </xdr:nvSpPr>
      <xdr:spPr>
        <a:xfrm>
          <a:off x="7734300" y="581025"/>
          <a:ext cx="1571625" cy="457200"/>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400">
              <a:latin typeface="Times New Roman" panose="02020603050405020304" pitchFamily="18" charset="0"/>
              <a:cs typeface="Times New Roman" panose="02020603050405020304" pitchFamily="18" charset="0"/>
            </a:rPr>
            <a:t>Convert</a:t>
          </a:r>
          <a:r>
            <a:rPr lang="en-GB" sz="1400" baseline="0">
              <a:latin typeface="Times New Roman" panose="02020603050405020304" pitchFamily="18" charset="0"/>
              <a:cs typeface="Times New Roman" panose="02020603050405020304" pitchFamily="18" charset="0"/>
            </a:rPr>
            <a:t> PDF</a:t>
          </a:r>
          <a:endParaRPr lang="en-GB" sz="1400">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0</xdr:colOff>
      <xdr:row>1</xdr:row>
      <xdr:rowOff>0</xdr:rowOff>
    </xdr:from>
    <xdr:to>
      <xdr:col>17</xdr:col>
      <xdr:colOff>142875</xdr:colOff>
      <xdr:row>3</xdr:row>
      <xdr:rowOff>133350</xdr:rowOff>
    </xdr:to>
    <xdr:sp macro="[0]!print_out" textlink="">
      <xdr:nvSpPr>
        <xdr:cNvPr id="2" name="Rectangle 1">
          <a:extLst>
            <a:ext uri="{FF2B5EF4-FFF2-40B4-BE49-F238E27FC236}">
              <a16:creationId xmlns:a16="http://schemas.microsoft.com/office/drawing/2014/main" id="{00000000-0008-0000-0500-000002000000}"/>
            </a:ext>
          </a:extLst>
        </xdr:cNvPr>
        <xdr:cNvSpPr/>
      </xdr:nvSpPr>
      <xdr:spPr>
        <a:xfrm>
          <a:off x="7620000" y="676275"/>
          <a:ext cx="1571625" cy="457200"/>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400">
              <a:latin typeface="Times New Roman" panose="02020603050405020304" pitchFamily="18" charset="0"/>
              <a:cs typeface="Times New Roman" panose="02020603050405020304" pitchFamily="18" charset="0"/>
            </a:rPr>
            <a:t>Convert</a:t>
          </a:r>
          <a:r>
            <a:rPr lang="en-GB" sz="1400" baseline="0">
              <a:latin typeface="Times New Roman" panose="02020603050405020304" pitchFamily="18" charset="0"/>
              <a:cs typeface="Times New Roman" panose="02020603050405020304" pitchFamily="18" charset="0"/>
            </a:rPr>
            <a:t> PDF</a:t>
          </a:r>
          <a:endParaRPr lang="en-GB" sz="1400">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0</xdr:colOff>
      <xdr:row>1</xdr:row>
      <xdr:rowOff>0</xdr:rowOff>
    </xdr:from>
    <xdr:to>
      <xdr:col>17</xdr:col>
      <xdr:colOff>142875</xdr:colOff>
      <xdr:row>3</xdr:row>
      <xdr:rowOff>133350</xdr:rowOff>
    </xdr:to>
    <xdr:sp macro="[0]!print_out" textlink="">
      <xdr:nvSpPr>
        <xdr:cNvPr id="2" name="Rectangle 1">
          <a:extLst>
            <a:ext uri="{FF2B5EF4-FFF2-40B4-BE49-F238E27FC236}">
              <a16:creationId xmlns:a16="http://schemas.microsoft.com/office/drawing/2014/main" id="{00000000-0008-0000-0600-000002000000}"/>
            </a:ext>
          </a:extLst>
        </xdr:cNvPr>
        <xdr:cNvSpPr/>
      </xdr:nvSpPr>
      <xdr:spPr>
        <a:xfrm>
          <a:off x="7620000" y="676275"/>
          <a:ext cx="1571625" cy="457200"/>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400">
              <a:latin typeface="Times New Roman" panose="02020603050405020304" pitchFamily="18" charset="0"/>
              <a:cs typeface="Times New Roman" panose="02020603050405020304" pitchFamily="18" charset="0"/>
            </a:rPr>
            <a:t>Convert</a:t>
          </a:r>
          <a:r>
            <a:rPr lang="en-GB" sz="1400" baseline="0">
              <a:latin typeface="Times New Roman" panose="02020603050405020304" pitchFamily="18" charset="0"/>
              <a:cs typeface="Times New Roman" panose="02020603050405020304" pitchFamily="18" charset="0"/>
            </a:rPr>
            <a:t> PDF</a:t>
          </a:r>
          <a:endParaRPr lang="en-GB" sz="1400">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16</xdr:col>
      <xdr:colOff>560916</xdr:colOff>
      <xdr:row>3</xdr:row>
      <xdr:rowOff>42333</xdr:rowOff>
    </xdr:from>
    <xdr:to>
      <xdr:col>18</xdr:col>
      <xdr:colOff>402167</xdr:colOff>
      <xdr:row>5</xdr:row>
      <xdr:rowOff>0</xdr:rowOff>
    </xdr:to>
    <xdr:sp macro="[0]!print_out" textlink="">
      <xdr:nvSpPr>
        <xdr:cNvPr id="2" name="Rectangle 1">
          <a:extLst>
            <a:ext uri="{FF2B5EF4-FFF2-40B4-BE49-F238E27FC236}">
              <a16:creationId xmlns:a16="http://schemas.microsoft.com/office/drawing/2014/main" id="{00000000-0008-0000-0700-000002000000}"/>
            </a:ext>
          </a:extLst>
        </xdr:cNvPr>
        <xdr:cNvSpPr/>
      </xdr:nvSpPr>
      <xdr:spPr>
        <a:xfrm>
          <a:off x="11218333" y="889000"/>
          <a:ext cx="1471084" cy="423333"/>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GB" sz="1800">
              <a:latin typeface="Times New Roman" panose="02020603050405020304" pitchFamily="18" charset="0"/>
              <a:cs typeface="Times New Roman" panose="02020603050405020304" pitchFamily="18" charset="0"/>
            </a:rPr>
            <a:t>Convert</a:t>
          </a:r>
          <a:r>
            <a:rPr lang="en-GB" sz="1800" baseline="0">
              <a:latin typeface="Times New Roman" panose="02020603050405020304" pitchFamily="18" charset="0"/>
              <a:cs typeface="Times New Roman" panose="02020603050405020304" pitchFamily="18" charset="0"/>
            </a:rPr>
            <a:t> PDF</a:t>
          </a:r>
          <a:endParaRPr lang="en-GB" sz="1800">
            <a:latin typeface="Times New Roman" panose="02020603050405020304" pitchFamily="18" charset="0"/>
            <a:cs typeface="Times New Roman" panose="02020603050405020304" pitchFamily="18" charset="0"/>
          </a:endParaRP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1.vml"/><Relationship Id="rId7" Type="http://schemas.openxmlformats.org/officeDocument/2006/relationships/image" Target="../media/image2.w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rgb="FFFFFF00"/>
  </sheetPr>
  <dimension ref="A1:M17"/>
  <sheetViews>
    <sheetView workbookViewId="0">
      <selection activeCell="R21" sqref="R21"/>
    </sheetView>
  </sheetViews>
  <sheetFormatPr defaultColWidth="11.44140625" defaultRowHeight="14.4" x14ac:dyDescent="0.3"/>
  <cols>
    <col min="1" max="1" width="9.88671875" style="160" customWidth="1"/>
    <col min="2" max="3" width="7.5546875" style="160" customWidth="1"/>
    <col min="4" max="4" width="7" style="160" customWidth="1"/>
    <col min="5" max="5" width="10.6640625" style="160" customWidth="1"/>
    <col min="6" max="6" width="14.6640625" style="160" customWidth="1"/>
    <col min="7" max="7" width="11.33203125" customWidth="1"/>
    <col min="8" max="8" width="13.88671875" customWidth="1"/>
    <col min="9" max="9" width="14.88671875" customWidth="1"/>
    <col min="10" max="10" width="12.44140625" customWidth="1"/>
    <col min="11" max="11" width="11.88671875" customWidth="1"/>
    <col min="12" max="12" width="16.5546875" customWidth="1"/>
  </cols>
  <sheetData>
    <row r="1" spans="1:13" ht="15.6" x14ac:dyDescent="0.3">
      <c r="A1" s="518" t="s">
        <v>366</v>
      </c>
      <c r="B1" s="518"/>
      <c r="C1" s="518"/>
      <c r="D1" s="518"/>
      <c r="E1" s="518"/>
      <c r="F1" s="518"/>
      <c r="G1" s="519" t="s">
        <v>365</v>
      </c>
      <c r="H1" s="520"/>
      <c r="I1" s="520"/>
      <c r="J1" s="520"/>
    </row>
    <row r="2" spans="1:13" ht="44.25" customHeight="1" x14ac:dyDescent="0.3">
      <c r="A2" s="171" t="s">
        <v>320</v>
      </c>
      <c r="B2" s="171" t="s">
        <v>364</v>
      </c>
      <c r="C2" s="171" t="s">
        <v>321</v>
      </c>
      <c r="D2" s="171" t="s">
        <v>134</v>
      </c>
      <c r="E2" s="171" t="s">
        <v>363</v>
      </c>
      <c r="F2" s="171" t="s">
        <v>362</v>
      </c>
      <c r="G2" s="171" t="s">
        <v>361</v>
      </c>
      <c r="H2" s="171" t="s">
        <v>360</v>
      </c>
      <c r="I2" s="171" t="s">
        <v>359</v>
      </c>
      <c r="J2" s="171" t="s">
        <v>358</v>
      </c>
      <c r="L2" s="170" t="s">
        <v>357</v>
      </c>
      <c r="M2" s="170" t="s">
        <v>356</v>
      </c>
    </row>
    <row r="3" spans="1:13" ht="15.6" x14ac:dyDescent="0.3">
      <c r="A3" s="166">
        <v>40</v>
      </c>
      <c r="B3" s="166">
        <v>1.3</v>
      </c>
      <c r="C3" s="165">
        <v>37.4</v>
      </c>
      <c r="D3" s="164">
        <v>1.5</v>
      </c>
      <c r="E3" s="163">
        <f t="shared" ref="E3:E17" si="0">D3*((PI()*((C3/1000)^2)/4)*3600)</f>
        <v>5.9323510891825988</v>
      </c>
      <c r="F3" s="162">
        <f t="shared" ref="F3:F17" si="1">E3*1000</f>
        <v>5932.351089182599</v>
      </c>
      <c r="G3" s="167">
        <v>63.39</v>
      </c>
      <c r="H3" s="161"/>
      <c r="I3" s="161"/>
      <c r="J3" s="167">
        <v>102</v>
      </c>
      <c r="L3" s="168" t="s">
        <v>128</v>
      </c>
      <c r="M3" s="168">
        <v>150</v>
      </c>
    </row>
    <row r="4" spans="1:13" ht="15.6" x14ac:dyDescent="0.3">
      <c r="A4" s="166">
        <v>50</v>
      </c>
      <c r="B4" s="166">
        <v>1.6</v>
      </c>
      <c r="C4" s="165">
        <v>46.37</v>
      </c>
      <c r="D4" s="164">
        <v>1.5</v>
      </c>
      <c r="E4" s="163">
        <f t="shared" si="0"/>
        <v>9.119222936493939</v>
      </c>
      <c r="F4" s="162">
        <f t="shared" si="1"/>
        <v>9119.2229364939394</v>
      </c>
      <c r="G4" s="167">
        <v>69.12</v>
      </c>
      <c r="H4" s="167">
        <v>96.12</v>
      </c>
      <c r="I4" s="161"/>
      <c r="J4" s="167">
        <v>124</v>
      </c>
      <c r="L4" s="168" t="s">
        <v>355</v>
      </c>
      <c r="M4" s="168">
        <v>140</v>
      </c>
    </row>
    <row r="5" spans="1:13" ht="15.6" x14ac:dyDescent="0.3">
      <c r="A5" s="166">
        <v>63</v>
      </c>
      <c r="B5" s="166">
        <v>2</v>
      </c>
      <c r="C5" s="165">
        <v>58.36</v>
      </c>
      <c r="D5" s="164">
        <v>1.5</v>
      </c>
      <c r="E5" s="163">
        <f t="shared" si="0"/>
        <v>14.444888957502137</v>
      </c>
      <c r="F5" s="162">
        <f t="shared" si="1"/>
        <v>14444.888957502137</v>
      </c>
      <c r="G5" s="167">
        <v>120.96</v>
      </c>
      <c r="H5" s="167">
        <v>153.36000000000001</v>
      </c>
      <c r="I5" s="161"/>
      <c r="J5" s="167">
        <v>190</v>
      </c>
      <c r="L5" s="168" t="s">
        <v>354</v>
      </c>
      <c r="M5" s="168">
        <v>130</v>
      </c>
    </row>
    <row r="6" spans="1:13" ht="15.6" x14ac:dyDescent="0.3">
      <c r="A6" s="166">
        <v>75</v>
      </c>
      <c r="B6" s="166">
        <v>2.2999999999999998</v>
      </c>
      <c r="C6" s="165">
        <v>69.339999999999989</v>
      </c>
      <c r="D6" s="164">
        <v>1.5</v>
      </c>
      <c r="E6" s="163">
        <f t="shared" si="0"/>
        <v>20.391600580863553</v>
      </c>
      <c r="F6" s="162">
        <f t="shared" si="1"/>
        <v>20391.600580863553</v>
      </c>
      <c r="G6" s="167">
        <v>291.60000000000002</v>
      </c>
      <c r="H6" s="161"/>
      <c r="I6" s="167">
        <v>723.6</v>
      </c>
      <c r="J6" s="161"/>
      <c r="L6" s="168" t="s">
        <v>353</v>
      </c>
      <c r="M6" s="168">
        <v>135</v>
      </c>
    </row>
    <row r="7" spans="1:13" ht="15.6" x14ac:dyDescent="0.3">
      <c r="A7" s="166">
        <v>90</v>
      </c>
      <c r="B7" s="166">
        <v>2.8</v>
      </c>
      <c r="C7" s="165">
        <v>84.47</v>
      </c>
      <c r="D7" s="164">
        <v>1.5</v>
      </c>
      <c r="E7" s="163">
        <f t="shared" si="0"/>
        <v>30.261373061590184</v>
      </c>
      <c r="F7" s="162">
        <f t="shared" si="1"/>
        <v>30261.373061590184</v>
      </c>
      <c r="G7" s="167">
        <v>334.8</v>
      </c>
      <c r="H7" s="161"/>
      <c r="I7" s="167">
        <v>744</v>
      </c>
      <c r="J7" s="161"/>
      <c r="L7" s="168" t="s">
        <v>352</v>
      </c>
      <c r="M7" s="168">
        <v>130</v>
      </c>
    </row>
    <row r="8" spans="1:13" ht="15.6" x14ac:dyDescent="0.3">
      <c r="A8" s="166">
        <v>110</v>
      </c>
      <c r="B8" s="166">
        <v>3.2</v>
      </c>
      <c r="C8" s="165">
        <v>103.6</v>
      </c>
      <c r="D8" s="164">
        <v>1.5</v>
      </c>
      <c r="E8" s="163">
        <f t="shared" si="0"/>
        <v>45.520094187818685</v>
      </c>
      <c r="F8" s="162">
        <f t="shared" si="1"/>
        <v>45520.094187818686</v>
      </c>
      <c r="G8" s="167">
        <v>613.44000000000005</v>
      </c>
      <c r="H8" s="161"/>
      <c r="I8" s="167">
        <v>972</v>
      </c>
      <c r="J8" s="161"/>
      <c r="K8" s="169"/>
      <c r="L8" s="168" t="s">
        <v>351</v>
      </c>
      <c r="M8" s="106">
        <v>100</v>
      </c>
    </row>
    <row r="9" spans="1:13" ht="15.6" x14ac:dyDescent="0.3">
      <c r="A9" s="166">
        <v>125</v>
      </c>
      <c r="B9" s="166">
        <v>3.7</v>
      </c>
      <c r="C9" s="165">
        <v>117.6</v>
      </c>
      <c r="D9" s="164">
        <v>1.5</v>
      </c>
      <c r="E9" s="163">
        <f t="shared" si="0"/>
        <v>58.654087762828468</v>
      </c>
      <c r="F9" s="162">
        <f t="shared" si="1"/>
        <v>58654.087762828465</v>
      </c>
      <c r="G9" s="161"/>
      <c r="H9" s="161"/>
      <c r="I9" s="167">
        <v>1134</v>
      </c>
      <c r="J9" s="161"/>
    </row>
    <row r="10" spans="1:13" ht="15.6" x14ac:dyDescent="0.3">
      <c r="A10" s="166">
        <v>140</v>
      </c>
      <c r="B10" s="166">
        <v>3.7</v>
      </c>
      <c r="C10" s="165">
        <v>132.6</v>
      </c>
      <c r="D10" s="164">
        <v>1.5</v>
      </c>
      <c r="E10" s="163">
        <f t="shared" si="0"/>
        <v>74.571124021873828</v>
      </c>
      <c r="F10" s="162">
        <f t="shared" si="1"/>
        <v>74571.124021873824</v>
      </c>
      <c r="G10" s="161"/>
      <c r="H10" s="161"/>
      <c r="I10" s="167">
        <v>1382.4</v>
      </c>
      <c r="J10" s="161"/>
    </row>
    <row r="11" spans="1:13" ht="15.6" x14ac:dyDescent="0.3">
      <c r="A11" s="166">
        <v>160</v>
      </c>
      <c r="B11" s="166">
        <v>3.8</v>
      </c>
      <c r="C11" s="165">
        <v>152.4</v>
      </c>
      <c r="D11" s="164">
        <v>1.5</v>
      </c>
      <c r="E11" s="163">
        <f t="shared" si="0"/>
        <v>98.503933936553565</v>
      </c>
      <c r="F11" s="162">
        <f t="shared" si="1"/>
        <v>98503.933936553571</v>
      </c>
      <c r="G11" s="161"/>
      <c r="H11" s="161"/>
      <c r="I11" s="167">
        <v>1728</v>
      </c>
      <c r="J11" s="161"/>
    </row>
    <row r="12" spans="1:13" ht="15.6" x14ac:dyDescent="0.3">
      <c r="A12" s="166">
        <v>200</v>
      </c>
      <c r="B12" s="166">
        <v>4.7</v>
      </c>
      <c r="C12" s="165">
        <v>190.6</v>
      </c>
      <c r="D12" s="164">
        <v>1.5</v>
      </c>
      <c r="E12" s="163">
        <f t="shared" si="0"/>
        <v>154.07402700550313</v>
      </c>
      <c r="F12" s="162">
        <f t="shared" si="1"/>
        <v>154074.02700550313</v>
      </c>
      <c r="G12" s="161"/>
      <c r="H12" s="161"/>
      <c r="I12" s="167">
        <v>2268</v>
      </c>
      <c r="J12" s="161"/>
    </row>
    <row r="13" spans="1:13" ht="15.6" x14ac:dyDescent="0.3">
      <c r="A13" s="166">
        <v>225</v>
      </c>
      <c r="B13" s="166">
        <v>5.3</v>
      </c>
      <c r="C13" s="165">
        <v>214.4</v>
      </c>
      <c r="D13" s="164">
        <v>1.5</v>
      </c>
      <c r="E13" s="163">
        <f t="shared" si="0"/>
        <v>194.95447264923843</v>
      </c>
      <c r="F13" s="162">
        <f t="shared" si="1"/>
        <v>194954.47264923842</v>
      </c>
      <c r="G13" s="161"/>
      <c r="H13" s="161"/>
      <c r="I13" s="161"/>
      <c r="J13" s="161"/>
    </row>
    <row r="14" spans="1:13" ht="15.6" x14ac:dyDescent="0.3">
      <c r="A14" s="166">
        <v>250</v>
      </c>
      <c r="B14" s="166">
        <v>5.9</v>
      </c>
      <c r="C14" s="165">
        <v>238.2</v>
      </c>
      <c r="D14" s="164">
        <v>1.5</v>
      </c>
      <c r="E14" s="163">
        <f t="shared" si="0"/>
        <v>240.63963239826194</v>
      </c>
      <c r="F14" s="162">
        <f t="shared" si="1"/>
        <v>240639.63239826195</v>
      </c>
      <c r="G14" s="161"/>
      <c r="H14" s="161"/>
      <c r="I14" s="161"/>
      <c r="J14" s="161"/>
    </row>
    <row r="15" spans="1:13" ht="15.6" x14ac:dyDescent="0.3">
      <c r="A15" s="166">
        <v>315</v>
      </c>
      <c r="B15" s="166">
        <v>7.4</v>
      </c>
      <c r="C15" s="165">
        <v>300.2</v>
      </c>
      <c r="D15" s="164">
        <v>1.5</v>
      </c>
      <c r="E15" s="163">
        <f t="shared" si="0"/>
        <v>382.21261506704468</v>
      </c>
      <c r="F15" s="162">
        <f t="shared" si="1"/>
        <v>382212.61506704468</v>
      </c>
      <c r="G15" s="161"/>
      <c r="H15" s="161"/>
      <c r="I15" s="161"/>
      <c r="J15" s="161"/>
    </row>
    <row r="16" spans="1:13" ht="15.6" x14ac:dyDescent="0.3">
      <c r="A16" s="166">
        <v>400</v>
      </c>
      <c r="B16" s="166">
        <v>9.4</v>
      </c>
      <c r="C16" s="165">
        <v>381.2</v>
      </c>
      <c r="D16" s="164">
        <v>1.5</v>
      </c>
      <c r="E16" s="163">
        <f t="shared" si="0"/>
        <v>616.2961080220125</v>
      </c>
      <c r="F16" s="162">
        <f t="shared" si="1"/>
        <v>616296.10802201251</v>
      </c>
      <c r="G16" s="161"/>
      <c r="H16" s="161"/>
      <c r="I16" s="161"/>
      <c r="J16" s="161"/>
    </row>
    <row r="17" spans="1:10" ht="15.6" x14ac:dyDescent="0.3">
      <c r="A17" s="166">
        <v>500</v>
      </c>
      <c r="B17" s="166">
        <v>11.8</v>
      </c>
      <c r="C17" s="165">
        <v>476.4</v>
      </c>
      <c r="D17" s="164">
        <v>1.5</v>
      </c>
      <c r="E17" s="163">
        <f t="shared" si="0"/>
        <v>962.55852959304775</v>
      </c>
      <c r="F17" s="162">
        <f t="shared" si="1"/>
        <v>962558.5295930478</v>
      </c>
      <c r="G17" s="161"/>
      <c r="H17" s="161"/>
      <c r="I17" s="161"/>
      <c r="J17" s="161"/>
    </row>
  </sheetData>
  <mergeCells count="2">
    <mergeCell ref="A1:F1"/>
    <mergeCell ref="G1:J1"/>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4">
    <tabColor rgb="FF7030A0"/>
  </sheetPr>
  <dimension ref="B2:O19"/>
  <sheetViews>
    <sheetView zoomScale="80" zoomScaleNormal="80" workbookViewId="0">
      <selection activeCell="B3" sqref="B3:E18"/>
    </sheetView>
  </sheetViews>
  <sheetFormatPr defaultColWidth="10.5546875" defaultRowHeight="26.25" customHeight="1" x14ac:dyDescent="0.3"/>
  <cols>
    <col min="2" max="2" width="41.6640625" customWidth="1"/>
    <col min="4" max="5" width="13.44140625" customWidth="1"/>
    <col min="7" max="7" width="41.6640625" customWidth="1"/>
    <col min="9" max="9" width="13.44140625" customWidth="1"/>
    <col min="12" max="12" width="11.5546875" customWidth="1"/>
    <col min="13" max="13" width="11.5546875" style="404" customWidth="1"/>
    <col min="14" max="15" width="10.5546875" style="404"/>
  </cols>
  <sheetData>
    <row r="2" spans="2:15" s="178" customFormat="1" ht="26.25" customHeight="1" thickBot="1" x14ac:dyDescent="0.45">
      <c r="M2" s="404"/>
      <c r="N2" s="404"/>
      <c r="O2" s="404"/>
    </row>
    <row r="3" spans="2:15" s="300" customFormat="1" ht="27" customHeight="1" thickBot="1" x14ac:dyDescent="0.35">
      <c r="B3" s="521" t="s">
        <v>391</v>
      </c>
      <c r="C3" s="522"/>
      <c r="D3" s="522"/>
      <c r="E3" s="523"/>
      <c r="G3" s="521" t="s">
        <v>391</v>
      </c>
      <c r="H3" s="522"/>
      <c r="I3" s="523"/>
      <c r="M3" s="404"/>
      <c r="N3" s="404"/>
      <c r="O3" s="404"/>
    </row>
    <row r="4" spans="2:15" s="300" customFormat="1" ht="21" customHeight="1" thickBot="1" x14ac:dyDescent="0.35">
      <c r="B4" s="313" t="s">
        <v>473</v>
      </c>
      <c r="C4" s="314" t="s">
        <v>390</v>
      </c>
      <c r="D4" s="528" t="s">
        <v>389</v>
      </c>
      <c r="E4" s="529"/>
      <c r="G4" s="313" t="s">
        <v>473</v>
      </c>
      <c r="H4" s="314" t="s">
        <v>390</v>
      </c>
      <c r="I4" s="389" t="s">
        <v>389</v>
      </c>
      <c r="K4" s="397" t="str">
        <f>Rapport!R169</f>
        <v>Olivier</v>
      </c>
      <c r="L4" s="397">
        <f>Rapport!S169</f>
        <v>14400</v>
      </c>
      <c r="M4" s="404"/>
      <c r="N4" s="404"/>
      <c r="O4" s="404"/>
    </row>
    <row r="5" spans="2:15" s="300" customFormat="1" ht="21" customHeight="1" x14ac:dyDescent="0.3">
      <c r="B5" s="310" t="s">
        <v>459</v>
      </c>
      <c r="C5" s="315"/>
      <c r="D5" s="316" t="str">
        <f>Rapport!B101</f>
        <v>Olivier</v>
      </c>
      <c r="E5" s="317" t="str">
        <f>Rapport!B102</f>
        <v>Caroube</v>
      </c>
      <c r="G5" s="310" t="s">
        <v>459</v>
      </c>
      <c r="H5" s="315"/>
      <c r="I5" s="394" t="str">
        <f>D5</f>
        <v>Olivier</v>
      </c>
      <c r="K5" s="397" t="str">
        <f>Rapport!R170</f>
        <v>Caroube</v>
      </c>
      <c r="L5" s="397">
        <f>Rapport!S170</f>
        <v>14900</v>
      </c>
      <c r="M5" s="404"/>
      <c r="N5" s="404"/>
      <c r="O5" s="404"/>
    </row>
    <row r="6" spans="2:15" s="300" customFormat="1" ht="21" customHeight="1" x14ac:dyDescent="0.3">
      <c r="B6" s="311" t="s">
        <v>460</v>
      </c>
      <c r="C6" s="318" t="s">
        <v>476</v>
      </c>
      <c r="D6" s="319">
        <f>VLOOKUP(D5,'Calcul Hyd'!$C$3:$T$5,2,FALSE)</f>
        <v>14500</v>
      </c>
      <c r="E6" s="321">
        <f>VLOOKUP(E5,'Calcul Hyd'!$C$3:$T$5,2,FALSE)</f>
        <v>14800</v>
      </c>
      <c r="G6" s="311" t="s">
        <v>460</v>
      </c>
      <c r="H6" s="318" t="s">
        <v>476</v>
      </c>
      <c r="I6" s="321">
        <f>Rapport!S169</f>
        <v>14400</v>
      </c>
      <c r="M6" s="404"/>
      <c r="N6" s="404"/>
      <c r="O6" s="404"/>
    </row>
    <row r="7" spans="2:15" s="300" customFormat="1" ht="21" customHeight="1" x14ac:dyDescent="0.3">
      <c r="B7" s="311" t="s">
        <v>461</v>
      </c>
      <c r="C7" s="320"/>
      <c r="D7" s="526" t="s">
        <v>403</v>
      </c>
      <c r="E7" s="527"/>
      <c r="G7" s="311" t="s">
        <v>461</v>
      </c>
      <c r="H7" s="320"/>
      <c r="I7" s="388" t="s">
        <v>403</v>
      </c>
      <c r="M7" s="404"/>
      <c r="N7" s="404"/>
      <c r="O7" s="404"/>
    </row>
    <row r="8" spans="2:15" s="300" customFormat="1" ht="21" customHeight="1" x14ac:dyDescent="0.3">
      <c r="B8" s="311" t="s">
        <v>462</v>
      </c>
      <c r="C8" s="318" t="s">
        <v>35</v>
      </c>
      <c r="D8" s="319" t="str">
        <f>CONCATENATE(VLOOKUP(D5,'Calcul Hyd'!$C$3:$F$4,3,0)," * ",VLOOKUP(D5,'Calcul Hyd'!$C$3:$F$4,4,0))</f>
        <v>6 * 6</v>
      </c>
      <c r="E8" s="321" t="str">
        <f>CONCATENATE(VLOOKUP(E5,'Calcul Hyd'!$C$3:$F$4,3,0)," * ",VLOOKUP(E5,'Calcul Hyd'!$C$3:$F$4,4,0))</f>
        <v>7 * 7</v>
      </c>
      <c r="G8" s="311" t="s">
        <v>462</v>
      </c>
      <c r="H8" s="318" t="s">
        <v>35</v>
      </c>
      <c r="I8" s="321" t="str">
        <f>CONCATENATE(VLOOKUP(I5,'Calcul Hyd'!$C$3:$F$4,3,0)," * ",VLOOKUP(I5,'Calcul Hyd'!$C$3:$F$4,4,0))</f>
        <v>6 * 6</v>
      </c>
      <c r="M8" s="404"/>
      <c r="N8" s="404"/>
      <c r="O8" s="404"/>
    </row>
    <row r="9" spans="2:15" s="300" customFormat="1" ht="21" customHeight="1" x14ac:dyDescent="0.3">
      <c r="B9" s="311" t="s">
        <v>463</v>
      </c>
      <c r="C9" s="322" t="s">
        <v>162</v>
      </c>
      <c r="D9" s="526" t="s">
        <v>388</v>
      </c>
      <c r="E9" s="527"/>
      <c r="G9" s="311" t="s">
        <v>463</v>
      </c>
      <c r="H9" s="322" t="s">
        <v>162</v>
      </c>
      <c r="I9" s="388" t="s">
        <v>388</v>
      </c>
      <c r="M9" s="404"/>
      <c r="N9" s="404"/>
      <c r="O9" s="404"/>
    </row>
    <row r="10" spans="2:15" s="300" customFormat="1" ht="21" customHeight="1" x14ac:dyDescent="0.3">
      <c r="B10" s="311" t="s">
        <v>464</v>
      </c>
      <c r="C10" s="318" t="s">
        <v>387</v>
      </c>
      <c r="D10" s="323">
        <f>VLOOKUP(D5,'Calcul Hyd'!$C$3:$T$5,8,FALSE)</f>
        <v>15.23</v>
      </c>
      <c r="E10" s="324">
        <f>VLOOKUP(E5,'Calcul Hyd'!$C$3:$T$5,8,FALSE)</f>
        <v>15.23</v>
      </c>
      <c r="G10" s="311" t="s">
        <v>464</v>
      </c>
      <c r="H10" s="318" t="s">
        <v>387</v>
      </c>
      <c r="I10" s="324">
        <f>'Calcul Hyd'!J3</f>
        <v>15.23</v>
      </c>
      <c r="M10" s="404"/>
      <c r="N10" s="404"/>
      <c r="O10" s="404"/>
    </row>
    <row r="11" spans="2:15" s="300" customFormat="1" ht="21" customHeight="1" x14ac:dyDescent="0.3">
      <c r="B11" s="311" t="s">
        <v>465</v>
      </c>
      <c r="C11" s="318" t="s">
        <v>35</v>
      </c>
      <c r="D11" s="504">
        <f>VLOOKUP(D5,'Calcul Hyd'!$C$3:$T$5,9,FALSE)</f>
        <v>3</v>
      </c>
      <c r="E11" s="395">
        <f>VLOOKUP(E5,'Calcul Hyd'!$C$3:$T$5,9,FALSE)</f>
        <v>3.5</v>
      </c>
      <c r="G11" s="311" t="s">
        <v>465</v>
      </c>
      <c r="H11" s="318" t="s">
        <v>35</v>
      </c>
      <c r="I11" s="395">
        <f>D11</f>
        <v>3</v>
      </c>
      <c r="M11" s="404"/>
      <c r="N11" s="404"/>
      <c r="O11" s="404"/>
    </row>
    <row r="12" spans="2:15" s="300" customFormat="1" ht="21" customHeight="1" x14ac:dyDescent="0.3">
      <c r="B12" s="311" t="s">
        <v>466</v>
      </c>
      <c r="C12" s="318" t="s">
        <v>35</v>
      </c>
      <c r="D12" s="504">
        <f>VLOOKUP(D5,'Calcul Hyd'!$C$3:$T$5,3,FALSE)/VLOOKUP(D5,'Calcul Hyd'!$C$3:$T$5,5,FALSE)</f>
        <v>3</v>
      </c>
      <c r="E12" s="395">
        <f>VLOOKUP(E5,'Calcul Hyd'!$C$3:$T$5,3,FALSE)/VLOOKUP(E5,'Calcul Hyd'!$C$3:$T$5,5,FALSE)</f>
        <v>3.5</v>
      </c>
      <c r="G12" s="311" t="s">
        <v>466</v>
      </c>
      <c r="H12" s="318" t="s">
        <v>35</v>
      </c>
      <c r="I12" s="395">
        <f t="shared" ref="I12:I16" si="0">D12</f>
        <v>3</v>
      </c>
      <c r="M12" s="404"/>
      <c r="N12" s="404"/>
      <c r="O12" s="404"/>
    </row>
    <row r="13" spans="2:15" s="300" customFormat="1" ht="21" customHeight="1" x14ac:dyDescent="0.3">
      <c r="B13" s="311" t="s">
        <v>467</v>
      </c>
      <c r="C13" s="325" t="s">
        <v>162</v>
      </c>
      <c r="D13" s="319">
        <f>VLOOKUP(D5,'Calcul Hyd'!$C$3:$T$5,5,FALSE)</f>
        <v>2</v>
      </c>
      <c r="E13" s="321">
        <f>VLOOKUP(E5,'Calcul Hyd'!$C$3:$T$5,5,FALSE)</f>
        <v>2</v>
      </c>
      <c r="G13" s="311" t="s">
        <v>467</v>
      </c>
      <c r="H13" s="325" t="s">
        <v>162</v>
      </c>
      <c r="I13" s="321">
        <f t="shared" si="0"/>
        <v>2</v>
      </c>
      <c r="M13" s="404"/>
      <c r="N13" s="404"/>
      <c r="O13" s="404"/>
    </row>
    <row r="14" spans="2:15" s="300" customFormat="1" ht="21" customHeight="1" x14ac:dyDescent="0.3">
      <c r="B14" s="311" t="s">
        <v>468</v>
      </c>
      <c r="C14" s="318" t="s">
        <v>386</v>
      </c>
      <c r="D14" s="504">
        <f>VLOOKUP(D5,'Calcul Hyd'!$C$3:$T$5,10,FALSE)</f>
        <v>1.6922222222222223</v>
      </c>
      <c r="E14" s="395">
        <f>VLOOKUP(E5,'Calcul Hyd'!$C$3:$T$5,10,FALSE)</f>
        <v>1.243265306122449</v>
      </c>
      <c r="G14" s="311" t="s">
        <v>468</v>
      </c>
      <c r="H14" s="318" t="s">
        <v>386</v>
      </c>
      <c r="I14" s="395">
        <f t="shared" si="0"/>
        <v>1.6922222222222223</v>
      </c>
      <c r="M14" s="404"/>
      <c r="N14" s="404"/>
      <c r="O14" s="404"/>
    </row>
    <row r="15" spans="2:15" s="300" customFormat="1" ht="21" customHeight="1" x14ac:dyDescent="0.3">
      <c r="B15" s="311" t="s">
        <v>469</v>
      </c>
      <c r="C15" s="318" t="s">
        <v>385</v>
      </c>
      <c r="D15" s="504">
        <f>VLOOKUP(D5,'Calcul Hyd'!$C$3:$T$5,15,FALSE)</f>
        <v>4.6900000000000004</v>
      </c>
      <c r="E15" s="395">
        <f>VLOOKUP(E5,'Calcul Hyd'!$C$3:$T$5,15,FALSE)</f>
        <v>4.6900000000000004</v>
      </c>
      <c r="G15" s="311" t="s">
        <v>469</v>
      </c>
      <c r="H15" s="318" t="s">
        <v>385</v>
      </c>
      <c r="I15" s="395">
        <f t="shared" si="0"/>
        <v>4.6900000000000004</v>
      </c>
      <c r="M15" s="404"/>
      <c r="N15" s="404"/>
      <c r="O15" s="404"/>
    </row>
    <row r="16" spans="2:15" s="300" customFormat="1" ht="21" customHeight="1" x14ac:dyDescent="0.3">
      <c r="B16" s="311" t="s">
        <v>470</v>
      </c>
      <c r="C16" s="318" t="s">
        <v>384</v>
      </c>
      <c r="D16" s="504">
        <f>VLOOKUP(D5,'Calcul Hyd'!$C$3:$T$5,16,FALSE)</f>
        <v>2.7715036112934999</v>
      </c>
      <c r="E16" s="395">
        <f>VLOOKUP(E5,'Calcul Hyd'!$C$3:$T$5,16,FALSE)</f>
        <v>3.7723243598161527</v>
      </c>
      <c r="G16" s="311" t="s">
        <v>470</v>
      </c>
      <c r="H16" s="318" t="s">
        <v>384</v>
      </c>
      <c r="I16" s="395">
        <f t="shared" si="0"/>
        <v>2.7715036112934999</v>
      </c>
      <c r="M16" s="404"/>
      <c r="N16" s="404"/>
      <c r="O16" s="404"/>
    </row>
    <row r="17" spans="2:15" s="300" customFormat="1" ht="21" customHeight="1" x14ac:dyDescent="0.3">
      <c r="B17" s="311" t="s">
        <v>471</v>
      </c>
      <c r="C17" s="318" t="s">
        <v>477</v>
      </c>
      <c r="D17" s="530">
        <f>Rapport!$O$169</f>
        <v>21.722607709750569</v>
      </c>
      <c r="E17" s="531"/>
      <c r="G17" s="311" t="s">
        <v>471</v>
      </c>
      <c r="H17" s="318" t="s">
        <v>477</v>
      </c>
      <c r="I17" s="395">
        <f>Rapport!$O$169</f>
        <v>21.722607709750569</v>
      </c>
      <c r="M17" s="404"/>
      <c r="N17" s="404"/>
      <c r="O17" s="404"/>
    </row>
    <row r="18" spans="2:15" s="301" customFormat="1" ht="21" customHeight="1" thickBot="1" x14ac:dyDescent="0.35">
      <c r="B18" s="312" t="s">
        <v>472</v>
      </c>
      <c r="C18" s="326" t="s">
        <v>383</v>
      </c>
      <c r="D18" s="524" t="s">
        <v>382</v>
      </c>
      <c r="E18" s="525"/>
      <c r="G18" s="312" t="s">
        <v>472</v>
      </c>
      <c r="H18" s="326" t="s">
        <v>383</v>
      </c>
      <c r="I18" s="396" t="s">
        <v>382</v>
      </c>
      <c r="M18" s="404"/>
      <c r="N18" s="404"/>
      <c r="O18" s="404"/>
    </row>
    <row r="19" spans="2:15" ht="23.25" customHeight="1" x14ac:dyDescent="0.3"/>
  </sheetData>
  <mergeCells count="7">
    <mergeCell ref="G3:I3"/>
    <mergeCell ref="D18:E18"/>
    <mergeCell ref="D9:E9"/>
    <mergeCell ref="D4:E4"/>
    <mergeCell ref="B3:E3"/>
    <mergeCell ref="D7:E7"/>
    <mergeCell ref="D17:E17"/>
  </mergeCells>
  <pageMargins left="0.7" right="0.7" top="0.75" bottom="0.75" header="0.3" footer="0.3"/>
  <pageSetup paperSize="9" orientation="portrait" horizontalDpi="1200" verticalDpi="1200" r:id="rId1"/>
  <ignoredErrors>
    <ignoredError sqref="D18 I18" numberStoredAsText="1"/>
  </ignoredError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tabColor rgb="FF00B050"/>
    <outlinePr summaryBelow="0" summaryRight="0"/>
    <pageSetUpPr fitToPage="1"/>
  </sheetPr>
  <dimension ref="A1:GG32"/>
  <sheetViews>
    <sheetView zoomScaleNormal="100" workbookViewId="0">
      <selection activeCell="Q5" sqref="Q5"/>
    </sheetView>
  </sheetViews>
  <sheetFormatPr defaultColWidth="9.44140625" defaultRowHeight="17.25" customHeight="1" x14ac:dyDescent="0.25"/>
  <cols>
    <col min="1" max="1" width="4.33203125" style="414" customWidth="1"/>
    <col min="2" max="2" width="9.44140625" style="68"/>
    <col min="3" max="4" width="11.109375" style="68" customWidth="1"/>
    <col min="5" max="5" width="9.44140625" style="68"/>
    <col min="6" max="7" width="9.44140625" style="70"/>
    <col min="8" max="8" width="9.44140625" style="118"/>
    <col min="9" max="9" width="9.44140625" style="70"/>
    <col min="10" max="10" width="9.44140625" style="118"/>
    <col min="11" max="11" width="9.5546875" style="68" customWidth="1"/>
    <col min="12" max="12" width="9.5546875" style="118" customWidth="1"/>
    <col min="13" max="13" width="9.5546875" style="68" customWidth="1"/>
    <col min="14" max="34" width="9.44140625" style="68"/>
    <col min="35" max="16384" width="9.44140625" style="414"/>
  </cols>
  <sheetData>
    <row r="1" spans="1:189" s="412" customFormat="1" ht="17.25" customHeight="1" x14ac:dyDescent="0.3">
      <c r="B1" s="343"/>
      <c r="C1" s="343"/>
      <c r="D1" s="343"/>
      <c r="E1" s="343"/>
      <c r="F1" s="343"/>
      <c r="G1" s="343"/>
      <c r="H1" s="343"/>
      <c r="I1" s="343"/>
      <c r="J1" s="343"/>
      <c r="K1" s="343"/>
      <c r="L1" s="343"/>
      <c r="M1" s="343"/>
      <c r="N1" s="343"/>
      <c r="O1" s="343"/>
      <c r="P1" s="343"/>
      <c r="Q1" s="343"/>
      <c r="R1" s="343"/>
      <c r="S1" s="343"/>
      <c r="T1" s="413"/>
      <c r="U1" s="413"/>
      <c r="V1" s="413"/>
      <c r="W1" s="413"/>
      <c r="X1" s="413"/>
      <c r="Y1" s="413"/>
      <c r="Z1" s="413"/>
      <c r="AA1" s="413"/>
      <c r="AB1" s="413"/>
      <c r="AC1" s="413"/>
      <c r="AD1" s="413"/>
      <c r="AE1" s="413"/>
      <c r="AF1" s="413"/>
      <c r="AG1" s="413"/>
      <c r="AH1" s="413"/>
    </row>
    <row r="2" spans="1:189" ht="45" customHeight="1" x14ac:dyDescent="0.25">
      <c r="B2" s="344" t="s">
        <v>284</v>
      </c>
      <c r="C2" s="344" t="s">
        <v>51</v>
      </c>
      <c r="D2" s="344" t="s">
        <v>481</v>
      </c>
      <c r="E2" s="532" t="s">
        <v>285</v>
      </c>
      <c r="F2" s="533"/>
      <c r="G2" s="345" t="s">
        <v>286</v>
      </c>
      <c r="H2" s="346" t="s">
        <v>287</v>
      </c>
      <c r="I2" s="346" t="s">
        <v>404</v>
      </c>
      <c r="J2" s="345" t="s">
        <v>288</v>
      </c>
      <c r="K2" s="346" t="s">
        <v>289</v>
      </c>
      <c r="L2" s="344" t="s">
        <v>290</v>
      </c>
      <c r="M2" s="344" t="s">
        <v>291</v>
      </c>
      <c r="N2" s="344" t="s">
        <v>292</v>
      </c>
      <c r="O2" s="344" t="s">
        <v>293</v>
      </c>
      <c r="P2" s="344" t="s">
        <v>482</v>
      </c>
      <c r="Q2" s="344" t="s">
        <v>294</v>
      </c>
      <c r="R2" s="344" t="s">
        <v>295</v>
      </c>
      <c r="S2" s="344" t="s">
        <v>296</v>
      </c>
      <c r="T2" s="344" t="s">
        <v>297</v>
      </c>
      <c r="V2" s="347"/>
      <c r="W2" s="347"/>
      <c r="X2" s="347"/>
      <c r="Y2" s="347"/>
      <c r="Z2" s="347"/>
      <c r="AA2" s="347"/>
      <c r="AB2" s="347"/>
      <c r="AC2" s="347"/>
      <c r="AD2" s="347"/>
      <c r="AE2" s="347"/>
      <c r="AF2" s="347"/>
      <c r="AG2" s="347"/>
      <c r="AH2" s="347"/>
    </row>
    <row r="3" spans="1:189" s="415" customFormat="1" ht="21" customHeight="1" x14ac:dyDescent="0.25">
      <c r="A3" s="414"/>
      <c r="B3" s="534"/>
      <c r="C3" s="348" t="s">
        <v>449</v>
      </c>
      <c r="D3" s="349">
        <v>14500</v>
      </c>
      <c r="E3" s="350">
        <v>6</v>
      </c>
      <c r="F3" s="350">
        <v>6</v>
      </c>
      <c r="G3" s="351">
        <v>2</v>
      </c>
      <c r="H3" s="352">
        <f>D3/(E3*F3)</f>
        <v>402.77777777777777</v>
      </c>
      <c r="I3" s="353">
        <v>4</v>
      </c>
      <c r="J3" s="350">
        <v>15.23</v>
      </c>
      <c r="K3" s="354">
        <f>F3*G3/I3</f>
        <v>3</v>
      </c>
      <c r="L3" s="355">
        <f>(J3*G3)/(K3*E3)</f>
        <v>1.6922222222222223</v>
      </c>
      <c r="M3" s="356">
        <f>(L3*D3)/1000</f>
        <v>24.537222222222223</v>
      </c>
      <c r="N3" s="357">
        <v>1</v>
      </c>
      <c r="O3" s="355">
        <f>IF(N3=0,0,(D3/N3))</f>
        <v>14500</v>
      </c>
      <c r="P3" s="358">
        <f>IF(N3=0,0,M3/N3)</f>
        <v>24.537222222222223</v>
      </c>
      <c r="Q3" s="350">
        <v>4.6900000000000004</v>
      </c>
      <c r="R3" s="354">
        <f t="shared" ref="R3" si="0">Q3/L3</f>
        <v>2.7715036112934999</v>
      </c>
      <c r="S3" s="354">
        <f t="shared" ref="S3" si="1">R3*N3</f>
        <v>2.7715036112934999</v>
      </c>
      <c r="T3" s="359">
        <f>Q3*10*(D3/10000)</f>
        <v>68.00500000000001</v>
      </c>
      <c r="U3" s="118"/>
      <c r="V3" s="118"/>
      <c r="W3" s="118"/>
      <c r="X3" s="118"/>
      <c r="Y3" s="118"/>
      <c r="Z3" s="118"/>
      <c r="AA3" s="118"/>
      <c r="AB3" s="118"/>
      <c r="AC3" s="118"/>
      <c r="AD3" s="118"/>
      <c r="AE3" s="118"/>
      <c r="AF3" s="118"/>
      <c r="AG3" s="118"/>
      <c r="AH3" s="118"/>
      <c r="AI3" s="118"/>
      <c r="AJ3" s="118"/>
      <c r="AK3" s="118"/>
      <c r="AL3" s="118"/>
      <c r="AM3" s="118"/>
      <c r="AN3" s="118"/>
      <c r="AO3" s="118"/>
      <c r="AP3" s="118"/>
      <c r="AQ3" s="118"/>
      <c r="AR3" s="118"/>
      <c r="AS3" s="118"/>
      <c r="AT3" s="118"/>
      <c r="BR3" s="118"/>
      <c r="BS3" s="118"/>
      <c r="BT3" s="118"/>
      <c r="BU3" s="118"/>
      <c r="BV3" s="118"/>
      <c r="BW3" s="118"/>
      <c r="BX3" s="118"/>
      <c r="BY3" s="118"/>
      <c r="BZ3" s="118"/>
      <c r="CA3" s="118"/>
      <c r="CB3" s="118"/>
      <c r="CC3" s="118"/>
      <c r="CD3" s="118"/>
      <c r="CE3" s="118"/>
      <c r="CF3" s="118"/>
      <c r="CG3" s="118"/>
      <c r="CH3" s="118"/>
      <c r="CI3" s="118"/>
      <c r="CJ3" s="118"/>
      <c r="CK3" s="118"/>
      <c r="CL3" s="118"/>
      <c r="CM3" s="118"/>
      <c r="CN3" s="118"/>
      <c r="CO3" s="118"/>
      <c r="CP3" s="118"/>
      <c r="CQ3" s="118"/>
      <c r="CR3" s="118"/>
      <c r="CS3" s="118"/>
      <c r="CT3" s="118"/>
      <c r="CU3" s="118"/>
      <c r="CV3" s="118"/>
      <c r="CW3" s="118"/>
      <c r="CX3" s="118"/>
      <c r="CY3" s="118"/>
      <c r="CZ3" s="118"/>
      <c r="DA3" s="118"/>
      <c r="DB3" s="118"/>
      <c r="DC3" s="118"/>
      <c r="DD3" s="118"/>
      <c r="DE3" s="118"/>
      <c r="DF3" s="118"/>
      <c r="DG3" s="118"/>
      <c r="DH3" s="118"/>
      <c r="DI3" s="118"/>
      <c r="DJ3" s="118"/>
      <c r="DK3" s="118"/>
      <c r="DL3" s="118"/>
      <c r="DM3" s="118"/>
      <c r="DN3" s="118"/>
      <c r="DO3" s="118"/>
      <c r="DP3" s="118"/>
      <c r="DQ3" s="118"/>
      <c r="DR3" s="118"/>
      <c r="DS3" s="118"/>
      <c r="DT3" s="118"/>
      <c r="DU3" s="118"/>
      <c r="DV3" s="118"/>
      <c r="DW3" s="118"/>
      <c r="DX3" s="118"/>
      <c r="DY3" s="118"/>
      <c r="DZ3" s="118"/>
      <c r="EA3" s="118"/>
      <c r="EB3" s="118"/>
      <c r="EC3" s="118"/>
      <c r="ED3" s="118"/>
      <c r="EE3" s="118"/>
      <c r="EF3" s="118"/>
      <c r="EG3" s="118"/>
      <c r="EH3" s="118"/>
      <c r="EI3" s="118"/>
      <c r="EJ3" s="118"/>
      <c r="EK3" s="118"/>
      <c r="EL3" s="118"/>
      <c r="EM3" s="118"/>
      <c r="EN3" s="118"/>
      <c r="EO3" s="118"/>
      <c r="EP3" s="118"/>
      <c r="EQ3" s="118"/>
      <c r="ER3" s="118"/>
      <c r="ES3" s="118"/>
      <c r="ET3" s="118"/>
      <c r="EU3" s="118"/>
      <c r="EV3" s="118"/>
      <c r="EW3" s="118"/>
      <c r="EX3" s="118"/>
      <c r="EY3" s="118"/>
      <c r="EZ3" s="118"/>
      <c r="FA3" s="118"/>
      <c r="FB3" s="118"/>
      <c r="FC3" s="118"/>
      <c r="FD3" s="118"/>
      <c r="FE3" s="118"/>
      <c r="FF3" s="118"/>
      <c r="FG3" s="118"/>
      <c r="FH3" s="118"/>
      <c r="FI3" s="118"/>
      <c r="FJ3" s="118"/>
      <c r="FK3" s="118"/>
      <c r="FL3" s="118"/>
      <c r="FM3" s="118"/>
      <c r="FN3" s="118"/>
      <c r="FO3" s="118"/>
      <c r="FP3" s="118"/>
      <c r="FQ3" s="118"/>
      <c r="FR3" s="118"/>
      <c r="FS3" s="118"/>
      <c r="FT3" s="118"/>
      <c r="FU3" s="118"/>
      <c r="FV3" s="118"/>
      <c r="FW3" s="118"/>
      <c r="FX3" s="118"/>
      <c r="FY3" s="118"/>
      <c r="FZ3" s="118"/>
      <c r="GA3" s="118"/>
      <c r="GB3" s="118"/>
      <c r="GC3" s="118"/>
      <c r="GD3" s="118"/>
      <c r="GE3" s="118"/>
      <c r="GF3" s="118"/>
      <c r="GG3" s="118"/>
    </row>
    <row r="4" spans="1:189" s="415" customFormat="1" ht="21" customHeight="1" x14ac:dyDescent="0.25">
      <c r="A4" s="414"/>
      <c r="B4" s="535"/>
      <c r="C4" s="348" t="s">
        <v>546</v>
      </c>
      <c r="D4" s="349">
        <v>14800</v>
      </c>
      <c r="E4" s="350">
        <v>7</v>
      </c>
      <c r="F4" s="350">
        <v>7</v>
      </c>
      <c r="G4" s="351">
        <v>2</v>
      </c>
      <c r="H4" s="352">
        <f>D4/(E4*F4)</f>
        <v>302.0408163265306</v>
      </c>
      <c r="I4" s="353">
        <v>4</v>
      </c>
      <c r="J4" s="350">
        <v>15.23</v>
      </c>
      <c r="K4" s="354">
        <f>F4*G4/I4</f>
        <v>3.5</v>
      </c>
      <c r="L4" s="355">
        <f>(J4*G4)/(K4*E4)</f>
        <v>1.243265306122449</v>
      </c>
      <c r="M4" s="356">
        <f>(L4*D4)/1000</f>
        <v>18.400326530612244</v>
      </c>
      <c r="N4" s="357">
        <v>1</v>
      </c>
      <c r="O4" s="355">
        <f>IF(N4=0,0,(D4/N4))</f>
        <v>14800</v>
      </c>
      <c r="P4" s="358">
        <f>IF(N4=0,0,M4/N4)</f>
        <v>18.400326530612244</v>
      </c>
      <c r="Q4" s="350">
        <v>4.6900000000000004</v>
      </c>
      <c r="R4" s="354">
        <f t="shared" ref="R4" si="2">Q4/L4</f>
        <v>3.7723243598161527</v>
      </c>
      <c r="S4" s="354">
        <f t="shared" ref="S4" si="3">R4*N4</f>
        <v>3.7723243598161527</v>
      </c>
      <c r="T4" s="359">
        <f>Q4*10*(D4/10000)</f>
        <v>69.412000000000006</v>
      </c>
      <c r="U4" s="118"/>
      <c r="V4" s="118"/>
      <c r="W4" s="118"/>
      <c r="X4" s="118"/>
      <c r="Y4" s="118"/>
      <c r="Z4" s="118"/>
      <c r="AA4" s="118"/>
      <c r="AB4" s="118"/>
      <c r="AC4" s="118"/>
      <c r="AD4" s="118"/>
      <c r="AE4" s="118"/>
      <c r="AF4" s="118"/>
      <c r="AG4" s="118"/>
      <c r="AH4" s="118"/>
      <c r="AI4" s="118"/>
      <c r="AJ4" s="118"/>
      <c r="AK4" s="118"/>
      <c r="AL4" s="118"/>
      <c r="AM4" s="118"/>
      <c r="AN4" s="118"/>
      <c r="AO4" s="118"/>
      <c r="AP4" s="118"/>
      <c r="AQ4" s="118"/>
      <c r="AR4" s="118"/>
      <c r="AS4" s="118"/>
      <c r="AT4" s="118"/>
      <c r="BR4" s="118"/>
      <c r="BS4" s="118"/>
      <c r="BT4" s="118"/>
      <c r="BU4" s="118"/>
      <c r="BV4" s="118"/>
      <c r="BW4" s="118"/>
      <c r="BX4" s="118"/>
      <c r="BY4" s="118"/>
      <c r="BZ4" s="118"/>
      <c r="CA4" s="118"/>
      <c r="CB4" s="118"/>
      <c r="CC4" s="118"/>
      <c r="CD4" s="118"/>
      <c r="CE4" s="118"/>
      <c r="CF4" s="118"/>
      <c r="CG4" s="118"/>
      <c r="CH4" s="118"/>
      <c r="CI4" s="118"/>
      <c r="CJ4" s="118"/>
      <c r="CK4" s="118"/>
      <c r="CL4" s="118"/>
      <c r="CM4" s="118"/>
      <c r="CN4" s="118"/>
      <c r="CO4" s="118"/>
      <c r="CP4" s="118"/>
      <c r="CQ4" s="118"/>
      <c r="CR4" s="118"/>
      <c r="CS4" s="118"/>
      <c r="CT4" s="118"/>
      <c r="CU4" s="118"/>
      <c r="CV4" s="118"/>
      <c r="CW4" s="118"/>
      <c r="CX4" s="118"/>
      <c r="CY4" s="118"/>
      <c r="CZ4" s="118"/>
      <c r="DA4" s="118"/>
      <c r="DB4" s="118"/>
      <c r="DC4" s="118"/>
      <c r="DD4" s="118"/>
      <c r="DE4" s="118"/>
      <c r="DF4" s="118"/>
      <c r="DG4" s="118"/>
      <c r="DH4" s="118"/>
      <c r="DI4" s="118"/>
      <c r="DJ4" s="118"/>
      <c r="DK4" s="118"/>
      <c r="DL4" s="118"/>
      <c r="DM4" s="118"/>
      <c r="DN4" s="118"/>
      <c r="DO4" s="118"/>
      <c r="DP4" s="118"/>
      <c r="DQ4" s="118"/>
      <c r="DR4" s="118"/>
      <c r="DS4" s="118"/>
      <c r="DT4" s="118"/>
      <c r="DU4" s="118"/>
      <c r="DV4" s="118"/>
      <c r="DW4" s="118"/>
      <c r="DX4" s="118"/>
      <c r="DY4" s="118"/>
      <c r="DZ4" s="118"/>
      <c r="EA4" s="118"/>
      <c r="EB4" s="118"/>
      <c r="EC4" s="118"/>
      <c r="ED4" s="118"/>
      <c r="EE4" s="118"/>
      <c r="EF4" s="118"/>
      <c r="EG4" s="118"/>
      <c r="EH4" s="118"/>
      <c r="EI4" s="118"/>
      <c r="EJ4" s="118"/>
      <c r="EK4" s="118"/>
      <c r="EL4" s="118"/>
      <c r="EM4" s="118"/>
      <c r="EN4" s="118"/>
      <c r="EO4" s="118"/>
      <c r="EP4" s="118"/>
      <c r="EQ4" s="118"/>
      <c r="ER4" s="118"/>
      <c r="ES4" s="118"/>
      <c r="ET4" s="118"/>
      <c r="EU4" s="118"/>
      <c r="EV4" s="118"/>
      <c r="EW4" s="118"/>
      <c r="EX4" s="118"/>
      <c r="EY4" s="118"/>
      <c r="EZ4" s="118"/>
      <c r="FA4" s="118"/>
      <c r="FB4" s="118"/>
      <c r="FC4" s="118"/>
      <c r="FD4" s="118"/>
      <c r="FE4" s="118"/>
      <c r="FF4" s="118"/>
      <c r="FG4" s="118"/>
      <c r="FH4" s="118"/>
      <c r="FI4" s="118"/>
      <c r="FJ4" s="118"/>
      <c r="FK4" s="118"/>
      <c r="FL4" s="118"/>
      <c r="FM4" s="118"/>
      <c r="FN4" s="118"/>
      <c r="FO4" s="118"/>
      <c r="FP4" s="118"/>
      <c r="FQ4" s="118"/>
      <c r="FR4" s="118"/>
      <c r="FS4" s="118"/>
      <c r="FT4" s="118"/>
      <c r="FU4" s="118"/>
      <c r="FV4" s="118"/>
      <c r="FW4" s="118"/>
      <c r="FX4" s="118"/>
      <c r="FY4" s="118"/>
      <c r="FZ4" s="118"/>
      <c r="GA4" s="118"/>
      <c r="GB4" s="118"/>
      <c r="GC4" s="118"/>
      <c r="GD4" s="118"/>
      <c r="GE4" s="118"/>
      <c r="GF4" s="118"/>
      <c r="GG4" s="118"/>
    </row>
    <row r="5" spans="1:189" s="415" customFormat="1" ht="21" customHeight="1" x14ac:dyDescent="0.25">
      <c r="A5" s="414"/>
      <c r="B5" s="535"/>
      <c r="C5" s="348"/>
      <c r="D5" s="349"/>
      <c r="E5" s="350"/>
      <c r="F5" s="350"/>
      <c r="G5" s="351"/>
      <c r="H5" s="352"/>
      <c r="I5" s="352"/>
      <c r="J5" s="350"/>
      <c r="K5" s="350"/>
      <c r="L5" s="355"/>
      <c r="M5" s="356"/>
      <c r="N5" s="357"/>
      <c r="O5" s="362"/>
      <c r="P5" s="358"/>
      <c r="Q5" s="350"/>
      <c r="R5" s="354"/>
      <c r="S5" s="354"/>
      <c r="T5" s="359"/>
      <c r="U5" s="118"/>
      <c r="V5" s="118"/>
      <c r="W5" s="118"/>
      <c r="X5" s="118"/>
      <c r="Y5" s="118"/>
      <c r="Z5" s="118"/>
      <c r="AA5" s="118"/>
      <c r="AB5" s="118"/>
      <c r="AC5" s="118"/>
      <c r="AD5" s="118"/>
      <c r="AE5" s="118"/>
      <c r="AF5" s="118"/>
      <c r="AG5" s="118"/>
      <c r="AH5" s="118"/>
      <c r="AI5" s="118"/>
      <c r="AJ5" s="118"/>
      <c r="AK5" s="118"/>
      <c r="AL5" s="118"/>
      <c r="AM5" s="118"/>
      <c r="AN5" s="118"/>
      <c r="AO5" s="118"/>
      <c r="AP5" s="118"/>
      <c r="AQ5" s="118"/>
      <c r="AR5" s="118"/>
      <c r="AS5" s="118"/>
      <c r="AT5" s="118"/>
      <c r="BR5" s="118"/>
      <c r="BS5" s="118"/>
      <c r="BT5" s="118"/>
      <c r="BU5" s="118"/>
      <c r="BV5" s="118"/>
      <c r="BW5" s="118"/>
      <c r="BX5" s="118"/>
      <c r="BY5" s="118"/>
      <c r="BZ5" s="118"/>
      <c r="CA5" s="118"/>
      <c r="CB5" s="118"/>
      <c r="CC5" s="118"/>
      <c r="CD5" s="118"/>
      <c r="CE5" s="118"/>
      <c r="CF5" s="118"/>
      <c r="CG5" s="118"/>
      <c r="CH5" s="118"/>
      <c r="CI5" s="118"/>
      <c r="CJ5" s="118"/>
      <c r="CK5" s="118"/>
      <c r="CL5" s="118"/>
      <c r="CM5" s="118"/>
      <c r="CN5" s="118"/>
      <c r="CO5" s="118"/>
      <c r="CP5" s="118"/>
      <c r="CQ5" s="118"/>
      <c r="CR5" s="118"/>
      <c r="CS5" s="118"/>
      <c r="CT5" s="118"/>
      <c r="CU5" s="118"/>
      <c r="CV5" s="118"/>
      <c r="CW5" s="118"/>
      <c r="CX5" s="118"/>
      <c r="CY5" s="118"/>
      <c r="CZ5" s="118"/>
      <c r="DA5" s="118"/>
      <c r="DB5" s="118"/>
      <c r="DC5" s="118"/>
      <c r="DD5" s="118"/>
      <c r="DE5" s="118"/>
      <c r="DF5" s="118"/>
      <c r="DG5" s="118"/>
      <c r="DH5" s="118"/>
      <c r="DI5" s="118"/>
      <c r="DJ5" s="118"/>
      <c r="DK5" s="118"/>
      <c r="DL5" s="118"/>
      <c r="DM5" s="118"/>
      <c r="DN5" s="118"/>
      <c r="DO5" s="118"/>
      <c r="DP5" s="118"/>
      <c r="DQ5" s="118"/>
      <c r="DR5" s="118"/>
      <c r="DS5" s="118"/>
      <c r="DT5" s="118"/>
      <c r="DU5" s="118"/>
      <c r="DV5" s="118"/>
      <c r="DW5" s="118"/>
      <c r="DX5" s="118"/>
      <c r="DY5" s="118"/>
      <c r="DZ5" s="118"/>
      <c r="EA5" s="118"/>
      <c r="EB5" s="118"/>
      <c r="EC5" s="118"/>
      <c r="ED5" s="118"/>
      <c r="EE5" s="118"/>
      <c r="EF5" s="118"/>
      <c r="EG5" s="118"/>
      <c r="EH5" s="118"/>
      <c r="EI5" s="118"/>
      <c r="EJ5" s="118"/>
      <c r="EK5" s="118"/>
      <c r="EL5" s="118"/>
      <c r="EM5" s="118"/>
      <c r="EN5" s="118"/>
      <c r="EO5" s="118"/>
      <c r="EP5" s="118"/>
      <c r="EQ5" s="118"/>
      <c r="ER5" s="118"/>
      <c r="ES5" s="118"/>
      <c r="ET5" s="118"/>
      <c r="EU5" s="118"/>
      <c r="EV5" s="118"/>
      <c r="EW5" s="118"/>
      <c r="EX5" s="118"/>
      <c r="EY5" s="118"/>
      <c r="EZ5" s="118"/>
      <c r="FA5" s="118"/>
      <c r="FB5" s="118"/>
      <c r="FC5" s="118"/>
      <c r="FD5" s="118"/>
      <c r="FE5" s="118"/>
      <c r="FF5" s="118"/>
      <c r="FG5" s="118"/>
      <c r="FH5" s="118"/>
      <c r="FI5" s="118"/>
      <c r="FJ5" s="118"/>
      <c r="FK5" s="118"/>
      <c r="FL5" s="118"/>
      <c r="FM5" s="118"/>
      <c r="FN5" s="118"/>
      <c r="FO5" s="118"/>
      <c r="FP5" s="118"/>
      <c r="FQ5" s="118"/>
      <c r="FR5" s="118"/>
      <c r="FS5" s="118"/>
      <c r="FT5" s="118"/>
      <c r="FU5" s="118"/>
      <c r="FV5" s="118"/>
      <c r="FW5" s="118"/>
      <c r="FX5" s="118"/>
      <c r="FY5" s="118"/>
      <c r="FZ5" s="118"/>
      <c r="GA5" s="118"/>
      <c r="GB5" s="118"/>
      <c r="GC5" s="118"/>
      <c r="GD5" s="118"/>
      <c r="GE5" s="118"/>
      <c r="GF5" s="118"/>
      <c r="GG5" s="118"/>
    </row>
    <row r="6" spans="1:189" s="416" customFormat="1" ht="17.25" customHeight="1" x14ac:dyDescent="0.25">
      <c r="D6" s="363"/>
      <c r="S6" s="364">
        <f>SUM(S3:S5)</f>
        <v>6.5438279711096525</v>
      </c>
      <c r="T6" s="365">
        <f>SUM(T3:T5)</f>
        <v>137.41700000000003</v>
      </c>
      <c r="U6" s="207"/>
      <c r="V6" s="207"/>
      <c r="W6" s="207"/>
      <c r="X6" s="207"/>
      <c r="Y6" s="207"/>
      <c r="Z6" s="207"/>
      <c r="AA6" s="207"/>
      <c r="AB6" s="207"/>
      <c r="AC6" s="207"/>
      <c r="AD6" s="207"/>
      <c r="AE6" s="207"/>
      <c r="AF6" s="207"/>
      <c r="AG6" s="207"/>
      <c r="AH6" s="207"/>
      <c r="AI6" s="207"/>
      <c r="AJ6" s="207"/>
      <c r="AK6" s="207"/>
      <c r="AL6" s="207"/>
      <c r="AM6" s="207"/>
      <c r="AN6" s="207"/>
      <c r="AO6" s="207"/>
      <c r="AP6" s="207"/>
      <c r="AQ6" s="207"/>
      <c r="AR6" s="207"/>
      <c r="AS6" s="207"/>
      <c r="AT6" s="207"/>
      <c r="BR6" s="207"/>
      <c r="BS6" s="207"/>
      <c r="BT6" s="207"/>
      <c r="BU6" s="207"/>
      <c r="BV6" s="207"/>
      <c r="BW6" s="207"/>
      <c r="BX6" s="207"/>
      <c r="BY6" s="207"/>
      <c r="BZ6" s="207"/>
      <c r="CA6" s="207"/>
      <c r="CB6" s="207"/>
      <c r="CC6" s="207"/>
      <c r="CD6" s="207"/>
      <c r="CE6" s="207"/>
      <c r="CF6" s="207"/>
      <c r="CG6" s="207"/>
      <c r="CH6" s="207"/>
      <c r="CI6" s="207"/>
      <c r="CJ6" s="207"/>
      <c r="CK6" s="207"/>
      <c r="CL6" s="207"/>
      <c r="CM6" s="207"/>
      <c r="CN6" s="207"/>
      <c r="CO6" s="207"/>
      <c r="CP6" s="207"/>
      <c r="CQ6" s="207"/>
      <c r="CR6" s="207"/>
      <c r="CS6" s="207"/>
      <c r="CT6" s="207"/>
      <c r="CU6" s="207"/>
      <c r="CV6" s="207"/>
      <c r="CW6" s="207"/>
      <c r="CX6" s="207"/>
      <c r="CY6" s="207"/>
      <c r="CZ6" s="207"/>
      <c r="DA6" s="207"/>
      <c r="DB6" s="207"/>
      <c r="DC6" s="207"/>
      <c r="DD6" s="207"/>
      <c r="DE6" s="207"/>
      <c r="DF6" s="207"/>
      <c r="DG6" s="207"/>
      <c r="DH6" s="207"/>
      <c r="DI6" s="207"/>
      <c r="DJ6" s="207"/>
      <c r="DK6" s="207"/>
      <c r="DL6" s="207"/>
      <c r="DM6" s="207"/>
      <c r="DN6" s="207"/>
      <c r="DO6" s="207"/>
      <c r="DP6" s="207"/>
      <c r="DQ6" s="207"/>
      <c r="DR6" s="207"/>
      <c r="DS6" s="207"/>
      <c r="DT6" s="207"/>
      <c r="DU6" s="207"/>
      <c r="DV6" s="207"/>
      <c r="DW6" s="207"/>
      <c r="DX6" s="207"/>
      <c r="DY6" s="207"/>
      <c r="DZ6" s="207"/>
      <c r="EA6" s="207"/>
      <c r="EB6" s="207"/>
      <c r="EC6" s="207"/>
      <c r="ED6" s="207"/>
      <c r="EE6" s="207"/>
      <c r="EF6" s="207"/>
      <c r="EG6" s="207"/>
      <c r="EH6" s="207"/>
      <c r="EI6" s="207"/>
      <c r="EJ6" s="207"/>
      <c r="EK6" s="207"/>
      <c r="EL6" s="207"/>
      <c r="EM6" s="207"/>
      <c r="EN6" s="207"/>
      <c r="EO6" s="207"/>
      <c r="EP6" s="207"/>
      <c r="EQ6" s="207"/>
      <c r="ER6" s="207"/>
      <c r="ES6" s="207"/>
      <c r="ET6" s="207"/>
      <c r="EU6" s="207"/>
      <c r="EV6" s="207"/>
      <c r="EW6" s="207"/>
      <c r="EX6" s="207"/>
      <c r="EY6" s="207"/>
      <c r="EZ6" s="207"/>
      <c r="FA6" s="207"/>
      <c r="FB6" s="207"/>
      <c r="FC6" s="207"/>
      <c r="FD6" s="207"/>
      <c r="FE6" s="207"/>
      <c r="FF6" s="207"/>
      <c r="FG6" s="207"/>
      <c r="FH6" s="207"/>
      <c r="FI6" s="207"/>
      <c r="FJ6" s="207"/>
      <c r="FK6" s="207"/>
      <c r="FL6" s="207"/>
      <c r="FM6" s="207"/>
      <c r="FN6" s="207"/>
      <c r="FO6" s="207"/>
      <c r="FP6" s="207"/>
      <c r="FQ6" s="207"/>
      <c r="FR6" s="207"/>
      <c r="FS6" s="207"/>
      <c r="FT6" s="207"/>
      <c r="FU6" s="207"/>
      <c r="FV6" s="207"/>
      <c r="FW6" s="207"/>
      <c r="FX6" s="207"/>
      <c r="FY6" s="207"/>
      <c r="FZ6" s="207"/>
      <c r="GA6" s="207"/>
      <c r="GB6" s="207"/>
      <c r="GC6" s="207"/>
      <c r="GD6" s="207"/>
      <c r="GE6" s="207"/>
      <c r="GF6" s="207"/>
      <c r="GG6" s="207"/>
    </row>
    <row r="7" spans="1:189" s="416" customFormat="1" ht="17.25" customHeight="1" x14ac:dyDescent="0.25">
      <c r="A7" s="366"/>
      <c r="H7" s="368"/>
      <c r="I7" s="368"/>
      <c r="J7" s="368"/>
      <c r="K7" s="368"/>
      <c r="L7" s="368"/>
      <c r="M7" s="368"/>
      <c r="N7" s="368"/>
      <c r="O7" s="368"/>
      <c r="U7" s="367"/>
      <c r="V7" s="367"/>
      <c r="W7" s="367"/>
      <c r="X7" s="367"/>
      <c r="Y7" s="367"/>
      <c r="Z7" s="367"/>
      <c r="AA7" s="367"/>
      <c r="AF7" s="367"/>
      <c r="AG7" s="367"/>
      <c r="AH7" s="367"/>
    </row>
    <row r="8" spans="1:189" ht="17.25" customHeight="1" x14ac:dyDescent="0.25">
      <c r="B8" s="416"/>
      <c r="C8" s="416"/>
      <c r="D8" s="416"/>
      <c r="E8" s="368">
        <v>29961.405999999999</v>
      </c>
      <c r="F8" s="368">
        <v>667</v>
      </c>
      <c r="G8" s="368">
        <v>9</v>
      </c>
      <c r="H8" s="368">
        <v>2</v>
      </c>
      <c r="I8" s="368">
        <f>+E8-F8-G8-H8</f>
        <v>29283.405999999999</v>
      </c>
      <c r="J8" s="368">
        <f>I8/2</f>
        <v>14641.703</v>
      </c>
      <c r="K8" s="368"/>
      <c r="L8" s="368"/>
      <c r="M8" s="368"/>
      <c r="N8" s="368"/>
      <c r="O8" s="368"/>
      <c r="P8" s="416"/>
      <c r="Q8" s="416"/>
      <c r="R8" s="416"/>
      <c r="T8" s="416"/>
      <c r="U8" s="347"/>
      <c r="V8" s="347"/>
      <c r="W8" s="347"/>
      <c r="X8" s="347"/>
      <c r="Y8" s="347"/>
      <c r="Z8" s="347"/>
      <c r="AA8" s="347"/>
      <c r="AB8" s="347"/>
      <c r="AC8" s="347"/>
      <c r="AD8" s="347"/>
      <c r="AE8" s="347"/>
      <c r="AF8" s="347"/>
      <c r="AG8" s="347"/>
      <c r="AH8" s="347"/>
    </row>
    <row r="9" spans="1:189" ht="17.25" customHeight="1" thickBot="1" x14ac:dyDescent="0.3">
      <c r="B9" s="416"/>
      <c r="C9" s="416"/>
      <c r="D9" s="416"/>
      <c r="E9" s="416"/>
      <c r="F9" s="416"/>
      <c r="G9" s="416"/>
      <c r="H9" s="416"/>
      <c r="I9" s="416"/>
      <c r="J9" s="416"/>
      <c r="K9" s="416"/>
      <c r="L9" s="416"/>
      <c r="M9" s="416"/>
      <c r="N9" s="416"/>
      <c r="O9" s="416"/>
      <c r="P9" s="416"/>
      <c r="Q9" s="416"/>
      <c r="R9" s="416"/>
      <c r="S9" s="416"/>
      <c r="T9" s="416"/>
      <c r="U9" s="416"/>
    </row>
    <row r="10" spans="1:189" s="416" customFormat="1" ht="17.25" customHeight="1" thickBot="1" x14ac:dyDescent="0.3">
      <c r="B10" s="547" t="s">
        <v>298</v>
      </c>
      <c r="C10" s="548"/>
      <c r="D10" s="118"/>
      <c r="E10" s="68"/>
      <c r="K10" s="368"/>
      <c r="V10" s="207"/>
      <c r="W10" s="207"/>
      <c r="X10" s="207"/>
      <c r="Y10" s="207"/>
      <c r="Z10" s="207"/>
      <c r="AA10" s="207"/>
      <c r="AB10" s="207"/>
      <c r="AC10" s="207"/>
      <c r="AD10" s="207"/>
      <c r="AE10" s="207"/>
      <c r="AF10" s="207"/>
      <c r="AG10" s="207"/>
      <c r="AH10" s="207"/>
      <c r="AI10" s="207"/>
      <c r="AJ10" s="207"/>
      <c r="AK10" s="207"/>
      <c r="AL10" s="207"/>
      <c r="AM10" s="207"/>
      <c r="AN10" s="207"/>
      <c r="AO10" s="207"/>
      <c r="AP10" s="207"/>
      <c r="AQ10" s="207"/>
      <c r="AR10" s="207"/>
      <c r="AS10" s="207"/>
      <c r="AT10" s="207"/>
      <c r="BR10" s="207"/>
      <c r="BS10" s="207"/>
      <c r="BT10" s="207"/>
      <c r="BU10" s="207"/>
      <c r="BV10" s="207"/>
      <c r="BW10" s="207"/>
      <c r="BX10" s="207"/>
      <c r="BY10" s="207"/>
      <c r="BZ10" s="207"/>
      <c r="CA10" s="207"/>
      <c r="CB10" s="207"/>
      <c r="CC10" s="207"/>
      <c r="CD10" s="207"/>
      <c r="CE10" s="207"/>
      <c r="CF10" s="207"/>
      <c r="CG10" s="207"/>
      <c r="CH10" s="207"/>
      <c r="CI10" s="207"/>
      <c r="CJ10" s="207"/>
      <c r="CK10" s="207"/>
      <c r="CL10" s="207"/>
      <c r="CM10" s="207"/>
      <c r="CN10" s="207"/>
      <c r="CO10" s="207"/>
      <c r="CP10" s="207"/>
      <c r="CQ10" s="207"/>
      <c r="CR10" s="207"/>
      <c r="CS10" s="207"/>
      <c r="CT10" s="207"/>
      <c r="CU10" s="207"/>
      <c r="CV10" s="207"/>
      <c r="CW10" s="207"/>
      <c r="CX10" s="207"/>
      <c r="CY10" s="207"/>
      <c r="CZ10" s="207"/>
      <c r="DA10" s="207"/>
      <c r="DB10" s="207"/>
      <c r="DC10" s="207"/>
      <c r="DD10" s="207"/>
      <c r="DE10" s="207"/>
      <c r="DF10" s="207"/>
      <c r="DG10" s="207"/>
      <c r="DH10" s="207"/>
      <c r="DI10" s="207"/>
      <c r="DJ10" s="207"/>
      <c r="DK10" s="207"/>
      <c r="DL10" s="207"/>
      <c r="DM10" s="207"/>
      <c r="DN10" s="207"/>
      <c r="DO10" s="207"/>
      <c r="DP10" s="207"/>
      <c r="DQ10" s="207"/>
      <c r="DR10" s="207"/>
      <c r="DS10" s="207"/>
      <c r="DT10" s="207"/>
      <c r="DU10" s="207"/>
      <c r="DV10" s="207"/>
      <c r="DW10" s="207"/>
      <c r="DX10" s="207"/>
      <c r="DY10" s="207"/>
      <c r="DZ10" s="207"/>
      <c r="EA10" s="207"/>
      <c r="EB10" s="207"/>
      <c r="EC10" s="207"/>
      <c r="ED10" s="207"/>
      <c r="EE10" s="207"/>
      <c r="EF10" s="207"/>
      <c r="EG10" s="207"/>
      <c r="EH10" s="207"/>
      <c r="EI10" s="207"/>
      <c r="EJ10" s="207"/>
      <c r="EK10" s="207"/>
      <c r="EL10" s="207"/>
      <c r="EM10" s="207"/>
      <c r="EN10" s="207"/>
      <c r="EO10" s="207"/>
      <c r="EP10" s="207"/>
      <c r="EQ10" s="207"/>
      <c r="ER10" s="207"/>
      <c r="ES10" s="207"/>
      <c r="ET10" s="207"/>
      <c r="EU10" s="207"/>
      <c r="EV10" s="207"/>
      <c r="EW10" s="207"/>
      <c r="EX10" s="207"/>
      <c r="EY10" s="207"/>
      <c r="EZ10" s="207"/>
      <c r="FA10" s="207"/>
      <c r="FB10" s="207"/>
      <c r="FC10" s="207"/>
      <c r="FD10" s="207"/>
      <c r="FE10" s="207"/>
      <c r="FF10" s="207"/>
      <c r="FG10" s="207"/>
      <c r="FH10" s="207"/>
      <c r="FI10" s="207"/>
      <c r="FJ10" s="207"/>
      <c r="FK10" s="207"/>
      <c r="FL10" s="207"/>
      <c r="FM10" s="207"/>
      <c r="FN10" s="207"/>
      <c r="FO10" s="207"/>
      <c r="FP10" s="207"/>
      <c r="FQ10" s="207"/>
      <c r="FR10" s="207"/>
      <c r="FS10" s="207"/>
      <c r="FT10" s="207"/>
      <c r="FU10" s="207"/>
      <c r="FV10" s="207"/>
      <c r="FW10" s="207"/>
      <c r="FX10" s="207"/>
      <c r="FY10" s="207"/>
      <c r="FZ10" s="207"/>
      <c r="GA10" s="207"/>
      <c r="GB10" s="207"/>
      <c r="GC10" s="207"/>
      <c r="GD10" s="207"/>
      <c r="GE10" s="207"/>
      <c r="GF10" s="207"/>
      <c r="GG10" s="207"/>
    </row>
    <row r="11" spans="1:189" s="416" customFormat="1" ht="17.25" customHeight="1" x14ac:dyDescent="0.25">
      <c r="A11" s="366"/>
      <c r="B11" s="360">
        <f>MAX(P3:P4)</f>
        <v>24.537222222222223</v>
      </c>
      <c r="C11" s="549">
        <f>(B11-B12)/B12</f>
        <v>0.33352102102102116</v>
      </c>
      <c r="D11" s="118"/>
      <c r="H11" s="503"/>
      <c r="I11" s="368"/>
      <c r="J11" s="368"/>
      <c r="K11" s="368"/>
      <c r="L11" s="368"/>
      <c r="M11" s="368"/>
      <c r="N11" s="368"/>
      <c r="O11" s="368"/>
      <c r="V11" s="367"/>
      <c r="W11" s="367"/>
      <c r="X11" s="367"/>
      <c r="Y11" s="367"/>
      <c r="Z11" s="367"/>
      <c r="AA11" s="367"/>
      <c r="AF11" s="367"/>
      <c r="AG11" s="367"/>
      <c r="AH11" s="367"/>
    </row>
    <row r="12" spans="1:189" ht="17.25" customHeight="1" thickBot="1" x14ac:dyDescent="0.3">
      <c r="B12" s="361">
        <f>MIN(P3:P4)</f>
        <v>18.400326530612244</v>
      </c>
      <c r="C12" s="550"/>
      <c r="D12" s="118"/>
      <c r="E12" s="414"/>
      <c r="F12" s="368"/>
      <c r="G12" s="368"/>
      <c r="H12" s="368"/>
      <c r="I12" s="368"/>
      <c r="J12" s="368"/>
      <c r="K12" s="368"/>
      <c r="L12" s="368"/>
      <c r="M12" s="368"/>
      <c r="N12" s="368"/>
      <c r="O12" s="368"/>
      <c r="P12" s="368"/>
      <c r="Q12" s="368"/>
      <c r="R12" s="368"/>
      <c r="S12" s="416"/>
      <c r="T12" s="416"/>
      <c r="U12" s="347"/>
      <c r="V12" s="347"/>
      <c r="W12" s="347"/>
      <c r="X12" s="347"/>
      <c r="Y12" s="347"/>
      <c r="Z12" s="347"/>
      <c r="AA12" s="347"/>
      <c r="AB12" s="347"/>
      <c r="AC12" s="347"/>
      <c r="AD12" s="347"/>
      <c r="AE12" s="347"/>
      <c r="AF12" s="347"/>
      <c r="AG12" s="347"/>
      <c r="AH12" s="347"/>
    </row>
    <row r="13" spans="1:189" ht="17.25" customHeight="1" x14ac:dyDescent="0.25">
      <c r="B13" s="118"/>
      <c r="C13" s="118"/>
      <c r="D13" s="118"/>
      <c r="E13" s="414"/>
      <c r="F13" s="414"/>
      <c r="G13" s="414"/>
      <c r="H13" s="368"/>
      <c r="I13" s="368"/>
      <c r="J13" s="368"/>
      <c r="K13" s="368"/>
      <c r="L13" s="368"/>
      <c r="M13" s="368"/>
      <c r="N13" s="368"/>
      <c r="O13" s="368"/>
      <c r="P13" s="368"/>
      <c r="Q13" s="368"/>
      <c r="R13" s="368"/>
      <c r="S13" s="416"/>
      <c r="T13" s="416"/>
      <c r="U13" s="347"/>
      <c r="V13" s="347"/>
      <c r="W13" s="347"/>
      <c r="X13" s="347"/>
      <c r="Y13" s="347"/>
      <c r="Z13" s="347"/>
      <c r="AA13" s="347"/>
      <c r="AB13" s="347"/>
      <c r="AC13" s="347"/>
      <c r="AD13" s="347"/>
      <c r="AE13" s="347"/>
      <c r="AF13" s="347"/>
      <c r="AG13" s="347"/>
      <c r="AH13" s="347"/>
    </row>
    <row r="14" spans="1:189" ht="17.25" customHeight="1" x14ac:dyDescent="0.25">
      <c r="B14" s="541">
        <v>29280</v>
      </c>
      <c r="C14" s="544">
        <f>IF(L3=0,0,N3/L3)+IF(L4=0,0,N4/L4)</f>
        <v>1.3952724885095207</v>
      </c>
      <c r="D14" s="118"/>
      <c r="E14" s="417">
        <f>IF(L3=0,"None",($B$14*N3)/(L3*$C$14))</f>
        <v>12400.941176470587</v>
      </c>
      <c r="F14" s="414"/>
      <c r="G14" s="414"/>
      <c r="H14" s="368"/>
      <c r="I14" s="368"/>
      <c r="J14" s="368"/>
      <c r="K14" s="368"/>
      <c r="L14" s="368"/>
      <c r="M14" s="368"/>
      <c r="N14" s="368"/>
      <c r="O14" s="368"/>
      <c r="P14" s="368"/>
      <c r="Q14" s="368"/>
      <c r="R14" s="368"/>
      <c r="S14" s="416"/>
      <c r="T14" s="416"/>
      <c r="U14" s="347"/>
      <c r="V14" s="347"/>
      <c r="W14" s="347"/>
      <c r="X14" s="347"/>
      <c r="Y14" s="347"/>
      <c r="Z14" s="347"/>
      <c r="AA14" s="347"/>
      <c r="AB14" s="347"/>
      <c r="AC14" s="347"/>
      <c r="AD14" s="347"/>
      <c r="AE14" s="347"/>
      <c r="AF14" s="347"/>
      <c r="AG14" s="347"/>
      <c r="AH14" s="347"/>
    </row>
    <row r="15" spans="1:189" ht="17.25" customHeight="1" x14ac:dyDescent="0.25">
      <c r="B15" s="542"/>
      <c r="C15" s="545"/>
      <c r="D15" s="118"/>
      <c r="E15" s="417">
        <f t="shared" ref="E15:E19" si="4">IF(L4=0,"None",($B$14*N4)/(L4*$C$14))</f>
        <v>16879.058823529409</v>
      </c>
      <c r="F15" s="414"/>
      <c r="G15" s="414"/>
      <c r="H15" s="368"/>
      <c r="I15" s="368"/>
      <c r="J15" s="368"/>
      <c r="K15" s="368"/>
      <c r="L15" s="368"/>
      <c r="M15" s="368"/>
      <c r="N15" s="368"/>
      <c r="O15" s="368"/>
      <c r="P15" s="368"/>
      <c r="Q15" s="368"/>
      <c r="R15" s="368"/>
      <c r="S15" s="416"/>
      <c r="T15" s="416"/>
      <c r="U15" s="347"/>
      <c r="V15" s="347"/>
      <c r="W15" s="347"/>
      <c r="X15" s="347"/>
      <c r="Y15" s="347"/>
      <c r="Z15" s="347"/>
      <c r="AA15" s="347"/>
      <c r="AB15" s="347"/>
      <c r="AC15" s="347"/>
      <c r="AD15" s="347"/>
      <c r="AE15" s="347"/>
      <c r="AF15" s="347"/>
      <c r="AG15" s="347"/>
      <c r="AH15" s="347"/>
    </row>
    <row r="16" spans="1:189" ht="17.25" customHeight="1" x14ac:dyDescent="0.25">
      <c r="B16" s="542"/>
      <c r="C16" s="545"/>
      <c r="D16" s="118"/>
      <c r="E16" s="417" t="str">
        <f t="shared" si="4"/>
        <v>None</v>
      </c>
      <c r="F16" s="414"/>
      <c r="G16" s="414"/>
      <c r="H16" s="414"/>
      <c r="I16" s="368"/>
      <c r="J16" s="368"/>
      <c r="K16" s="368"/>
      <c r="L16" s="368"/>
      <c r="M16" s="368"/>
      <c r="N16" s="368"/>
      <c r="O16" s="368"/>
      <c r="P16" s="368"/>
      <c r="Q16" s="368"/>
      <c r="R16" s="368"/>
      <c r="S16" s="416"/>
      <c r="T16" s="416"/>
      <c r="U16" s="347"/>
      <c r="V16" s="347"/>
      <c r="W16" s="347"/>
      <c r="X16" s="347"/>
      <c r="Y16" s="347"/>
      <c r="Z16" s="347"/>
      <c r="AA16" s="347"/>
      <c r="AB16" s="347"/>
      <c r="AC16" s="347"/>
      <c r="AD16" s="347"/>
      <c r="AE16" s="347"/>
      <c r="AF16" s="347"/>
      <c r="AG16" s="347"/>
      <c r="AH16" s="347"/>
    </row>
    <row r="17" spans="2:34" ht="17.25" customHeight="1" x14ac:dyDescent="0.25">
      <c r="B17" s="542"/>
      <c r="C17" s="545"/>
      <c r="D17" s="118"/>
      <c r="E17" s="417" t="str">
        <f t="shared" si="4"/>
        <v>None</v>
      </c>
      <c r="F17" s="368"/>
      <c r="G17" s="414"/>
      <c r="H17" s="414"/>
      <c r="I17" s="368"/>
      <c r="J17" s="368"/>
      <c r="K17" s="368"/>
      <c r="L17" s="368"/>
      <c r="M17" s="368"/>
      <c r="N17" s="368"/>
      <c r="O17" s="368"/>
      <c r="P17" s="368"/>
      <c r="Q17" s="368"/>
      <c r="R17" s="368"/>
      <c r="S17" s="416"/>
      <c r="T17" s="416"/>
      <c r="U17" s="347"/>
      <c r="V17" s="347"/>
      <c r="W17" s="347"/>
      <c r="X17" s="347"/>
      <c r="Y17" s="347"/>
      <c r="Z17" s="347"/>
      <c r="AA17" s="347"/>
      <c r="AB17" s="347"/>
      <c r="AC17" s="347"/>
      <c r="AD17" s="347"/>
      <c r="AE17" s="347"/>
      <c r="AF17" s="347"/>
      <c r="AG17" s="347"/>
      <c r="AH17" s="347"/>
    </row>
    <row r="18" spans="2:34" ht="17.25" customHeight="1" x14ac:dyDescent="0.25">
      <c r="B18" s="542"/>
      <c r="C18" s="545"/>
      <c r="D18" s="118"/>
      <c r="E18" s="417" t="str">
        <f t="shared" si="4"/>
        <v>None</v>
      </c>
      <c r="F18" s="368"/>
      <c r="G18" s="414"/>
      <c r="H18" s="414"/>
      <c r="I18" s="368"/>
      <c r="J18" s="368"/>
      <c r="K18" s="368"/>
      <c r="L18" s="368"/>
      <c r="M18" s="368"/>
      <c r="N18" s="368"/>
      <c r="O18" s="368"/>
      <c r="P18" s="368"/>
      <c r="Q18" s="368"/>
      <c r="R18" s="368"/>
      <c r="T18" s="416"/>
      <c r="U18" s="347"/>
      <c r="V18" s="347"/>
      <c r="W18" s="347"/>
      <c r="X18" s="347"/>
      <c r="Y18" s="347"/>
      <c r="Z18" s="347"/>
      <c r="AA18" s="347"/>
      <c r="AB18" s="347"/>
      <c r="AC18" s="347"/>
      <c r="AD18" s="347"/>
      <c r="AE18" s="347"/>
      <c r="AF18" s="347"/>
      <c r="AG18" s="347"/>
      <c r="AH18" s="347"/>
    </row>
    <row r="19" spans="2:34" ht="17.25" customHeight="1" x14ac:dyDescent="0.25">
      <c r="B19" s="543"/>
      <c r="C19" s="546"/>
      <c r="D19" s="118"/>
      <c r="E19" s="417" t="str">
        <f t="shared" si="4"/>
        <v>None</v>
      </c>
      <c r="F19" s="368"/>
      <c r="G19" s="414"/>
      <c r="H19" s="414"/>
      <c r="I19" s="368"/>
      <c r="J19" s="368"/>
      <c r="K19" s="368"/>
      <c r="L19" s="368"/>
      <c r="M19" s="368"/>
      <c r="N19" s="368"/>
      <c r="O19" s="368"/>
      <c r="P19" s="368"/>
      <c r="Q19" s="368"/>
      <c r="R19" s="368"/>
      <c r="T19" s="416"/>
      <c r="U19" s="347"/>
      <c r="V19" s="347"/>
      <c r="W19" s="347"/>
      <c r="X19" s="347"/>
      <c r="Y19" s="347"/>
      <c r="Z19" s="347"/>
      <c r="AA19" s="347"/>
      <c r="AB19" s="347"/>
      <c r="AC19" s="347"/>
      <c r="AD19" s="347"/>
      <c r="AE19" s="347"/>
      <c r="AF19" s="347"/>
      <c r="AG19" s="347"/>
      <c r="AH19" s="347"/>
    </row>
    <row r="20" spans="2:34" ht="17.25" customHeight="1" x14ac:dyDescent="0.25">
      <c r="B20" s="416"/>
      <c r="C20" s="416"/>
      <c r="D20" s="416"/>
      <c r="E20" s="416"/>
      <c r="F20" s="416"/>
      <c r="G20" s="416"/>
      <c r="H20" s="416"/>
      <c r="I20" s="416"/>
      <c r="J20" s="416"/>
      <c r="K20" s="416"/>
      <c r="L20" s="416"/>
      <c r="M20" s="416"/>
      <c r="N20" s="416"/>
      <c r="O20" s="416"/>
      <c r="P20" s="416"/>
      <c r="Q20" s="416"/>
      <c r="R20" s="416"/>
      <c r="S20" s="416"/>
      <c r="T20" s="416"/>
      <c r="U20" s="347"/>
      <c r="V20" s="347"/>
      <c r="W20" s="347"/>
      <c r="X20" s="347"/>
      <c r="Y20" s="347"/>
      <c r="Z20" s="347"/>
      <c r="AA20" s="347"/>
      <c r="AB20" s="347"/>
      <c r="AC20" s="347"/>
      <c r="AD20" s="347"/>
      <c r="AE20" s="347"/>
      <c r="AF20" s="347"/>
      <c r="AG20" s="347"/>
      <c r="AH20" s="347"/>
    </row>
    <row r="21" spans="2:34" ht="17.25" customHeight="1" x14ac:dyDescent="0.25">
      <c r="B21" s="416"/>
      <c r="C21" s="416"/>
      <c r="D21" s="416"/>
      <c r="E21" s="416"/>
      <c r="F21" s="416"/>
      <c r="G21" s="416"/>
      <c r="H21" s="416"/>
      <c r="I21" s="416"/>
      <c r="J21" s="416"/>
      <c r="K21" s="416"/>
      <c r="L21" s="416"/>
      <c r="M21" s="416"/>
      <c r="N21" s="416"/>
      <c r="O21" s="416"/>
      <c r="P21" s="416"/>
      <c r="Q21" s="416"/>
      <c r="R21" s="416"/>
      <c r="S21" s="416"/>
      <c r="T21" s="416"/>
      <c r="U21" s="347"/>
      <c r="V21" s="347"/>
      <c r="W21" s="347"/>
      <c r="X21" s="347"/>
      <c r="Y21" s="347"/>
      <c r="Z21" s="347"/>
      <c r="AA21" s="347"/>
      <c r="AB21" s="347"/>
      <c r="AC21" s="347"/>
      <c r="AD21" s="347"/>
      <c r="AE21" s="347"/>
      <c r="AF21" s="347"/>
      <c r="AG21" s="347"/>
      <c r="AH21" s="347"/>
    </row>
    <row r="22" spans="2:34" ht="17.25" customHeight="1" x14ac:dyDescent="0.25">
      <c r="B22" s="416"/>
      <c r="C22" s="416"/>
      <c r="D22" s="416"/>
      <c r="E22" s="416"/>
      <c r="F22" s="416"/>
      <c r="G22" s="416"/>
      <c r="H22" s="416"/>
      <c r="I22" s="416"/>
      <c r="J22" s="416"/>
      <c r="K22" s="416"/>
      <c r="L22" s="416"/>
      <c r="M22" s="416"/>
      <c r="N22" s="416"/>
      <c r="O22" s="416"/>
      <c r="P22" s="416"/>
      <c r="Q22" s="416"/>
      <c r="R22" s="416"/>
      <c r="S22" s="416"/>
      <c r="T22" s="416"/>
      <c r="U22" s="347"/>
      <c r="V22" s="347"/>
      <c r="W22" s="347"/>
      <c r="X22" s="347"/>
      <c r="Y22" s="347"/>
      <c r="Z22" s="347"/>
      <c r="AA22" s="347"/>
      <c r="AB22" s="347"/>
      <c r="AC22" s="347"/>
      <c r="AD22" s="347"/>
      <c r="AE22" s="347"/>
      <c r="AF22" s="347"/>
      <c r="AG22" s="347"/>
      <c r="AH22" s="347"/>
    </row>
    <row r="23" spans="2:34" ht="17.25" customHeight="1" x14ac:dyDescent="0.25">
      <c r="B23" s="416"/>
      <c r="C23" s="416"/>
      <c r="D23" s="416"/>
      <c r="E23" s="416"/>
      <c r="F23" s="416"/>
      <c r="G23" s="416"/>
      <c r="H23" s="416"/>
      <c r="I23" s="416"/>
      <c r="J23" s="416"/>
      <c r="K23" s="416"/>
      <c r="L23" s="416"/>
      <c r="M23" s="416"/>
      <c r="N23" s="416"/>
      <c r="O23" s="416"/>
      <c r="P23" s="416"/>
      <c r="Q23" s="416"/>
      <c r="R23" s="416"/>
      <c r="S23" s="416"/>
      <c r="T23" s="416"/>
      <c r="U23" s="347"/>
      <c r="V23" s="347"/>
      <c r="W23" s="347"/>
      <c r="X23" s="347"/>
      <c r="Y23" s="347"/>
      <c r="Z23" s="347"/>
      <c r="AA23" s="347"/>
      <c r="AB23" s="347"/>
      <c r="AC23" s="347"/>
      <c r="AD23" s="347"/>
      <c r="AE23" s="347"/>
      <c r="AF23" s="347"/>
      <c r="AG23" s="347"/>
      <c r="AH23" s="347"/>
    </row>
    <row r="24" spans="2:34" ht="17.25" customHeight="1" x14ac:dyDescent="0.25">
      <c r="B24" s="416"/>
      <c r="C24" s="416"/>
      <c r="D24" s="416"/>
      <c r="E24" s="416"/>
      <c r="F24" s="416"/>
      <c r="G24" s="416"/>
      <c r="H24" s="416"/>
      <c r="I24" s="416"/>
      <c r="J24" s="416"/>
      <c r="K24" s="416"/>
      <c r="L24" s="416"/>
      <c r="M24" s="416"/>
      <c r="N24" s="416"/>
      <c r="O24" s="416"/>
      <c r="P24" s="416"/>
      <c r="Q24" s="416"/>
      <c r="R24" s="416"/>
      <c r="S24" s="416"/>
      <c r="T24" s="416"/>
      <c r="U24" s="347"/>
      <c r="V24" s="347"/>
      <c r="W24" s="347"/>
      <c r="X24" s="347"/>
      <c r="Y24" s="347"/>
      <c r="Z24" s="347"/>
      <c r="AA24" s="347"/>
      <c r="AB24" s="347"/>
      <c r="AC24" s="347"/>
      <c r="AD24" s="347"/>
      <c r="AE24" s="347"/>
      <c r="AF24" s="347"/>
      <c r="AG24" s="347"/>
      <c r="AH24" s="347"/>
    </row>
    <row r="25" spans="2:34" ht="17.25" customHeight="1" x14ac:dyDescent="0.25">
      <c r="B25" s="416"/>
      <c r="C25" s="416"/>
      <c r="D25" s="416"/>
      <c r="E25" s="416"/>
      <c r="F25" s="416"/>
      <c r="G25" s="416"/>
      <c r="H25" s="416"/>
      <c r="I25" s="416"/>
      <c r="J25" s="416"/>
      <c r="K25" s="416"/>
      <c r="L25" s="416"/>
      <c r="M25" s="416"/>
      <c r="N25" s="416"/>
      <c r="O25" s="416"/>
      <c r="P25" s="416"/>
      <c r="Q25" s="416"/>
      <c r="R25" s="416"/>
      <c r="S25" s="416"/>
      <c r="T25" s="416"/>
      <c r="U25" s="347"/>
      <c r="V25" s="347"/>
      <c r="W25" s="347"/>
      <c r="X25" s="347"/>
      <c r="Y25" s="347"/>
      <c r="Z25" s="347"/>
      <c r="AA25" s="347"/>
      <c r="AB25" s="347"/>
      <c r="AC25" s="347"/>
      <c r="AD25" s="347"/>
      <c r="AE25" s="347"/>
      <c r="AF25" s="347"/>
      <c r="AG25" s="347"/>
      <c r="AH25" s="347"/>
    </row>
    <row r="26" spans="2:34" ht="17.25" customHeight="1" x14ac:dyDescent="0.25">
      <c r="B26" s="416"/>
      <c r="C26" s="416"/>
      <c r="D26" s="416"/>
      <c r="E26" s="416"/>
      <c r="F26" s="416"/>
      <c r="G26" s="416"/>
      <c r="H26" s="416"/>
      <c r="I26" s="416"/>
      <c r="J26" s="416"/>
      <c r="K26" s="416"/>
      <c r="L26" s="368"/>
      <c r="M26" s="416"/>
      <c r="N26" s="416"/>
      <c r="O26" s="416"/>
      <c r="P26" s="416"/>
      <c r="Q26" s="416"/>
    </row>
    <row r="27" spans="2:34" s="419" customFormat="1" ht="17.25" customHeight="1" x14ac:dyDescent="0.3">
      <c r="B27" s="342" t="s">
        <v>318</v>
      </c>
      <c r="C27" s="342"/>
      <c r="D27" s="342"/>
      <c r="E27" s="342"/>
      <c r="F27" s="342"/>
      <c r="G27" s="342"/>
      <c r="H27" s="342"/>
      <c r="I27" s="342"/>
      <c r="J27" s="342"/>
      <c r="K27" s="342"/>
      <c r="L27" s="342"/>
      <c r="M27" s="342"/>
      <c r="N27" s="342"/>
      <c r="O27" s="342"/>
      <c r="P27" s="342"/>
      <c r="Q27" s="342"/>
      <c r="R27" s="342"/>
      <c r="S27" s="342"/>
      <c r="T27" s="418"/>
      <c r="U27" s="418"/>
      <c r="V27" s="418"/>
      <c r="W27" s="418"/>
      <c r="X27" s="418"/>
      <c r="Y27" s="418"/>
      <c r="Z27" s="418"/>
      <c r="AA27" s="418"/>
      <c r="AB27" s="418"/>
      <c r="AC27" s="418"/>
      <c r="AD27" s="418"/>
      <c r="AE27" s="418"/>
      <c r="AF27" s="418"/>
      <c r="AG27" s="418"/>
      <c r="AH27" s="418"/>
    </row>
    <row r="28" spans="2:34" s="416" customFormat="1" ht="17.25" customHeight="1" x14ac:dyDescent="0.25">
      <c r="B28" s="420"/>
      <c r="C28" s="420"/>
      <c r="D28" s="421"/>
      <c r="E28" s="421"/>
      <c r="F28" s="421"/>
      <c r="G28" s="421"/>
      <c r="H28" s="421"/>
      <c r="I28" s="421"/>
      <c r="J28" s="421"/>
      <c r="K28" s="421"/>
      <c r="L28" s="369"/>
      <c r="M28" s="233"/>
      <c r="N28" s="233"/>
      <c r="O28" s="233"/>
      <c r="P28" s="233"/>
      <c r="Q28" s="233"/>
      <c r="R28" s="233"/>
      <c r="S28" s="233"/>
      <c r="T28" s="233"/>
      <c r="U28" s="370"/>
      <c r="V28" s="367"/>
      <c r="W28" s="367"/>
      <c r="X28" s="367"/>
      <c r="Y28" s="367"/>
      <c r="Z28" s="367"/>
      <c r="AA28" s="367"/>
      <c r="AB28" s="367"/>
      <c r="AC28" s="367"/>
      <c r="AD28" s="367"/>
      <c r="AE28" s="367"/>
      <c r="AF28" s="367"/>
      <c r="AG28" s="367"/>
      <c r="AH28" s="367"/>
    </row>
    <row r="29" spans="2:34" ht="17.25" customHeight="1" x14ac:dyDescent="0.25">
      <c r="B29" s="371" t="s">
        <v>89</v>
      </c>
      <c r="C29" s="371" t="s">
        <v>185</v>
      </c>
      <c r="D29" s="372" t="s">
        <v>319</v>
      </c>
      <c r="E29" s="372" t="s">
        <v>483</v>
      </c>
      <c r="F29" s="372" t="s">
        <v>320</v>
      </c>
      <c r="G29" s="372" t="s">
        <v>321</v>
      </c>
      <c r="H29" s="372" t="s">
        <v>322</v>
      </c>
      <c r="I29" s="372" t="s">
        <v>323</v>
      </c>
      <c r="J29" s="372" t="s">
        <v>324</v>
      </c>
      <c r="K29" s="372" t="s">
        <v>325</v>
      </c>
      <c r="L29" s="68"/>
      <c r="U29" s="69"/>
    </row>
    <row r="30" spans="2:34" ht="17.25" customHeight="1" x14ac:dyDescent="0.25">
      <c r="B30" s="536" t="s">
        <v>62</v>
      </c>
      <c r="C30" s="373" t="s">
        <v>299</v>
      </c>
      <c r="D30" s="373">
        <v>100</v>
      </c>
      <c r="E30" s="374">
        <v>10</v>
      </c>
      <c r="F30" s="375">
        <v>63</v>
      </c>
      <c r="G30" s="376">
        <v>59</v>
      </c>
      <c r="H30" s="377">
        <f t="shared" ref="H30" si="5">(4*(E30/3600))/(PI()*(G30/1000)^2)</f>
        <v>1.0160231293172164</v>
      </c>
      <c r="I30" s="374">
        <v>10</v>
      </c>
      <c r="J30" s="378">
        <f>(0.478*G30^-4.75*(E30*1000)^1.75*D30)*1.1</f>
        <v>2.0383254475197203</v>
      </c>
      <c r="K30" s="379">
        <f>I30+J30</f>
        <v>12.038325447519721</v>
      </c>
      <c r="L30" s="68"/>
      <c r="U30" s="69"/>
    </row>
    <row r="31" spans="2:34" ht="17.25" customHeight="1" x14ac:dyDescent="0.25">
      <c r="B31" s="537"/>
      <c r="C31" s="538" t="s">
        <v>326</v>
      </c>
      <c r="D31" s="539"/>
      <c r="E31" s="539"/>
      <c r="F31" s="539"/>
      <c r="G31" s="539"/>
      <c r="H31" s="539"/>
      <c r="I31" s="539"/>
      <c r="J31" s="540"/>
      <c r="K31" s="380">
        <f>K30</f>
        <v>12.038325447519721</v>
      </c>
      <c r="L31" s="68"/>
      <c r="U31" s="69"/>
    </row>
    <row r="32" spans="2:34" ht="17.25" customHeight="1" x14ac:dyDescent="0.25">
      <c r="B32" s="128"/>
      <c r="C32" s="129"/>
      <c r="D32" s="129"/>
      <c r="E32" s="119"/>
      <c r="F32" s="130"/>
      <c r="G32" s="131"/>
      <c r="I32" s="131"/>
      <c r="J32" s="119"/>
      <c r="K32" s="132"/>
      <c r="L32" s="68"/>
    </row>
  </sheetData>
  <mergeCells count="8">
    <mergeCell ref="E2:F2"/>
    <mergeCell ref="B3:B5"/>
    <mergeCell ref="B30:B31"/>
    <mergeCell ref="C31:J31"/>
    <mergeCell ref="B14:B19"/>
    <mergeCell ref="C14:C19"/>
    <mergeCell ref="B10:C10"/>
    <mergeCell ref="C11:C12"/>
  </mergeCells>
  <phoneticPr fontId="58" type="noConversion"/>
  <conditionalFormatting sqref="H32">
    <cfRule type="cellIs" dxfId="35" priority="108" stopIfTrue="1" operator="notBetween">
      <formula>0</formula>
      <formula>1.8</formula>
    </cfRule>
  </conditionalFormatting>
  <conditionalFormatting sqref="L3 L5">
    <cfRule type="cellIs" dxfId="34" priority="102" operator="greaterThan">
      <formula>#REF!</formula>
    </cfRule>
  </conditionalFormatting>
  <conditionalFormatting sqref="L3 L5">
    <cfRule type="cellIs" dxfId="33" priority="98" operator="greaterThan">
      <formula>#REF!</formula>
    </cfRule>
  </conditionalFormatting>
  <conditionalFormatting sqref="E26">
    <cfRule type="cellIs" dxfId="32" priority="32" stopIfTrue="1" operator="notBetween">
      <formula>0</formula>
      <formula>1.8</formula>
    </cfRule>
  </conditionalFormatting>
  <conditionalFormatting sqref="L4">
    <cfRule type="cellIs" dxfId="31" priority="2" operator="greaterThan">
      <formula>#REF!</formula>
    </cfRule>
  </conditionalFormatting>
  <conditionalFormatting sqref="L4">
    <cfRule type="cellIs" dxfId="30" priority="1" operator="greaterThan">
      <formula>#REF!</formula>
    </cfRule>
  </conditionalFormatting>
  <pageMargins left="0.7" right="0.7" top="0.75" bottom="0.75" header="0.3" footer="0.3"/>
  <pageSetup paperSize="9" scale="10"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tabColor rgb="FF92D050"/>
    <pageSetUpPr fitToPage="1"/>
  </sheetPr>
  <dimension ref="A1:GP478"/>
  <sheetViews>
    <sheetView tabSelected="1" view="pageBreakPreview" zoomScaleNormal="70" zoomScaleSheetLayoutView="100" workbookViewId="0">
      <selection activeCell="O469" sqref="O469"/>
    </sheetView>
  </sheetViews>
  <sheetFormatPr defaultColWidth="11" defaultRowHeight="15.6" x14ac:dyDescent="0.3"/>
  <cols>
    <col min="1" max="1" width="12.44140625" style="5" customWidth="1"/>
    <col min="2" max="13" width="8.33203125" style="5" customWidth="1"/>
    <col min="14" max="17" width="12" style="196" customWidth="1"/>
    <col min="18" max="19" width="13.33203125" style="196" customWidth="1"/>
    <col min="20" max="20" width="12" style="196" customWidth="1"/>
    <col min="21" max="22" width="11.5546875" style="196" customWidth="1"/>
    <col min="23" max="24" width="11.5546875" style="156" customWidth="1"/>
    <col min="25" max="46" width="11.5546875" style="5" customWidth="1"/>
    <col min="47" max="131" width="11" style="5"/>
    <col min="132" max="132" width="13.88671875" style="5" customWidth="1"/>
    <col min="133" max="133" width="6.33203125" style="5" customWidth="1"/>
    <col min="134" max="134" width="7.33203125" style="5" customWidth="1"/>
    <col min="135" max="135" width="7.6640625" style="5" customWidth="1"/>
    <col min="136" max="142" width="6.6640625" style="5" customWidth="1"/>
    <col min="143" max="143" width="7.33203125" style="5" customWidth="1"/>
    <col min="144" max="144" width="7.44140625" style="5" customWidth="1"/>
    <col min="145" max="145" width="9.33203125" style="5" customWidth="1"/>
    <col min="146" max="146" width="15.5546875" style="5" customWidth="1"/>
    <col min="147" max="147" width="11.109375" style="5" customWidth="1"/>
    <col min="148" max="150" width="0" style="5" hidden="1" customWidth="1"/>
    <col min="151" max="152" width="8.6640625" style="5" customWidth="1"/>
    <col min="153" max="153" width="5.33203125" style="5" customWidth="1"/>
    <col min="154" max="154" width="6.44140625" style="5" customWidth="1"/>
    <col min="155" max="155" width="16.6640625" style="5" customWidth="1"/>
    <col min="156" max="156" width="12" style="5" customWidth="1"/>
    <col min="157" max="157" width="9.109375" style="5" customWidth="1"/>
    <col min="158" max="158" width="9.44140625" style="5" customWidth="1"/>
    <col min="159" max="159" width="16.5546875" style="5" customWidth="1"/>
    <col min="160" max="160" width="6.5546875" style="5" customWidth="1"/>
    <col min="161" max="161" width="11.6640625" style="5" customWidth="1"/>
    <col min="162" max="162" width="8.88671875" style="5" customWidth="1"/>
    <col min="163" max="163" width="7.44140625" style="5" customWidth="1"/>
    <col min="164" max="164" width="4.88671875" style="5" customWidth="1"/>
    <col min="165" max="165" width="6.33203125" style="5" customWidth="1"/>
    <col min="166" max="166" width="2.5546875" style="5" customWidth="1"/>
    <col min="167" max="167" width="5.88671875" style="5" customWidth="1"/>
    <col min="168" max="168" width="1" style="5" customWidth="1"/>
    <col min="169" max="171" width="11.109375" style="5" customWidth="1"/>
    <col min="172" max="172" width="10.5546875" style="5" customWidth="1"/>
    <col min="173" max="173" width="10.88671875" style="5" customWidth="1"/>
    <col min="174" max="206" width="11" style="5" customWidth="1"/>
    <col min="207" max="387" width="11" style="5"/>
    <col min="388" max="388" width="13.88671875" style="5" customWidth="1"/>
    <col min="389" max="389" width="6.33203125" style="5" customWidth="1"/>
    <col min="390" max="390" width="7.33203125" style="5" customWidth="1"/>
    <col min="391" max="391" width="7.6640625" style="5" customWidth="1"/>
    <col min="392" max="398" width="6.6640625" style="5" customWidth="1"/>
    <col min="399" max="399" width="7.33203125" style="5" customWidth="1"/>
    <col min="400" max="400" width="7.44140625" style="5" customWidth="1"/>
    <col min="401" max="401" width="9.33203125" style="5" customWidth="1"/>
    <col min="402" max="402" width="15.5546875" style="5" customWidth="1"/>
    <col min="403" max="403" width="11.109375" style="5" customWidth="1"/>
    <col min="404" max="406" width="0" style="5" hidden="1" customWidth="1"/>
    <col min="407" max="408" width="8.6640625" style="5" customWidth="1"/>
    <col min="409" max="409" width="5.33203125" style="5" customWidth="1"/>
    <col min="410" max="410" width="6.44140625" style="5" customWidth="1"/>
    <col min="411" max="411" width="16.6640625" style="5" customWidth="1"/>
    <col min="412" max="412" width="12" style="5" customWidth="1"/>
    <col min="413" max="413" width="9.109375" style="5" customWidth="1"/>
    <col min="414" max="414" width="9.44140625" style="5" customWidth="1"/>
    <col min="415" max="415" width="16.5546875" style="5" customWidth="1"/>
    <col min="416" max="416" width="6.5546875" style="5" customWidth="1"/>
    <col min="417" max="417" width="11.6640625" style="5" customWidth="1"/>
    <col min="418" max="418" width="8.88671875" style="5" customWidth="1"/>
    <col min="419" max="419" width="7.44140625" style="5" customWidth="1"/>
    <col min="420" max="420" width="4.88671875" style="5" customWidth="1"/>
    <col min="421" max="421" width="6.33203125" style="5" customWidth="1"/>
    <col min="422" max="422" width="2.5546875" style="5" customWidth="1"/>
    <col min="423" max="423" width="5.88671875" style="5" customWidth="1"/>
    <col min="424" max="424" width="1" style="5" customWidth="1"/>
    <col min="425" max="427" width="11.109375" style="5" customWidth="1"/>
    <col min="428" max="428" width="10.5546875" style="5" customWidth="1"/>
    <col min="429" max="429" width="10.88671875" style="5" customWidth="1"/>
    <col min="430" max="462" width="11" style="5" customWidth="1"/>
    <col min="463" max="643" width="11" style="5"/>
    <col min="644" max="644" width="13.88671875" style="5" customWidth="1"/>
    <col min="645" max="645" width="6.33203125" style="5" customWidth="1"/>
    <col min="646" max="646" width="7.33203125" style="5" customWidth="1"/>
    <col min="647" max="647" width="7.6640625" style="5" customWidth="1"/>
    <col min="648" max="654" width="6.6640625" style="5" customWidth="1"/>
    <col min="655" max="655" width="7.33203125" style="5" customWidth="1"/>
    <col min="656" max="656" width="7.44140625" style="5" customWidth="1"/>
    <col min="657" max="657" width="9.33203125" style="5" customWidth="1"/>
    <col min="658" max="658" width="15.5546875" style="5" customWidth="1"/>
    <col min="659" max="659" width="11.109375" style="5" customWidth="1"/>
    <col min="660" max="662" width="0" style="5" hidden="1" customWidth="1"/>
    <col min="663" max="664" width="8.6640625" style="5" customWidth="1"/>
    <col min="665" max="665" width="5.33203125" style="5" customWidth="1"/>
    <col min="666" max="666" width="6.44140625" style="5" customWidth="1"/>
    <col min="667" max="667" width="16.6640625" style="5" customWidth="1"/>
    <col min="668" max="668" width="12" style="5" customWidth="1"/>
    <col min="669" max="669" width="9.109375" style="5" customWidth="1"/>
    <col min="670" max="670" width="9.44140625" style="5" customWidth="1"/>
    <col min="671" max="671" width="16.5546875" style="5" customWidth="1"/>
    <col min="672" max="672" width="6.5546875" style="5" customWidth="1"/>
    <col min="673" max="673" width="11.6640625" style="5" customWidth="1"/>
    <col min="674" max="674" width="8.88671875" style="5" customWidth="1"/>
    <col min="675" max="675" width="7.44140625" style="5" customWidth="1"/>
    <col min="676" max="676" width="4.88671875" style="5" customWidth="1"/>
    <col min="677" max="677" width="6.33203125" style="5" customWidth="1"/>
    <col min="678" max="678" width="2.5546875" style="5" customWidth="1"/>
    <col min="679" max="679" width="5.88671875" style="5" customWidth="1"/>
    <col min="680" max="680" width="1" style="5" customWidth="1"/>
    <col min="681" max="683" width="11.109375" style="5" customWidth="1"/>
    <col min="684" max="684" width="10.5546875" style="5" customWidth="1"/>
    <col min="685" max="685" width="10.88671875" style="5" customWidth="1"/>
    <col min="686" max="718" width="11" style="5" customWidth="1"/>
    <col min="719" max="899" width="11" style="5"/>
    <col min="900" max="900" width="13.88671875" style="5" customWidth="1"/>
    <col min="901" max="901" width="6.33203125" style="5" customWidth="1"/>
    <col min="902" max="902" width="7.33203125" style="5" customWidth="1"/>
    <col min="903" max="903" width="7.6640625" style="5" customWidth="1"/>
    <col min="904" max="910" width="6.6640625" style="5" customWidth="1"/>
    <col min="911" max="911" width="7.33203125" style="5" customWidth="1"/>
    <col min="912" max="912" width="7.44140625" style="5" customWidth="1"/>
    <col min="913" max="913" width="9.33203125" style="5" customWidth="1"/>
    <col min="914" max="914" width="15.5546875" style="5" customWidth="1"/>
    <col min="915" max="915" width="11.109375" style="5" customWidth="1"/>
    <col min="916" max="918" width="0" style="5" hidden="1" customWidth="1"/>
    <col min="919" max="920" width="8.6640625" style="5" customWidth="1"/>
    <col min="921" max="921" width="5.33203125" style="5" customWidth="1"/>
    <col min="922" max="922" width="6.44140625" style="5" customWidth="1"/>
    <col min="923" max="923" width="16.6640625" style="5" customWidth="1"/>
    <col min="924" max="924" width="12" style="5" customWidth="1"/>
    <col min="925" max="925" width="9.109375" style="5" customWidth="1"/>
    <col min="926" max="926" width="9.44140625" style="5" customWidth="1"/>
    <col min="927" max="927" width="16.5546875" style="5" customWidth="1"/>
    <col min="928" max="928" width="6.5546875" style="5" customWidth="1"/>
    <col min="929" max="929" width="11.6640625" style="5" customWidth="1"/>
    <col min="930" max="930" width="8.88671875" style="5" customWidth="1"/>
    <col min="931" max="931" width="7.44140625" style="5" customWidth="1"/>
    <col min="932" max="932" width="4.88671875" style="5" customWidth="1"/>
    <col min="933" max="933" width="6.33203125" style="5" customWidth="1"/>
    <col min="934" max="934" width="2.5546875" style="5" customWidth="1"/>
    <col min="935" max="935" width="5.88671875" style="5" customWidth="1"/>
    <col min="936" max="936" width="1" style="5" customWidth="1"/>
    <col min="937" max="939" width="11.109375" style="5" customWidth="1"/>
    <col min="940" max="940" width="10.5546875" style="5" customWidth="1"/>
    <col min="941" max="941" width="10.88671875" style="5" customWidth="1"/>
    <col min="942" max="974" width="11" style="5" customWidth="1"/>
    <col min="975" max="1155" width="11" style="5"/>
    <col min="1156" max="1156" width="13.88671875" style="5" customWidth="1"/>
    <col min="1157" max="1157" width="6.33203125" style="5" customWidth="1"/>
    <col min="1158" max="1158" width="7.33203125" style="5" customWidth="1"/>
    <col min="1159" max="1159" width="7.6640625" style="5" customWidth="1"/>
    <col min="1160" max="1166" width="6.6640625" style="5" customWidth="1"/>
    <col min="1167" max="1167" width="7.33203125" style="5" customWidth="1"/>
    <col min="1168" max="1168" width="7.44140625" style="5" customWidth="1"/>
    <col min="1169" max="1169" width="9.33203125" style="5" customWidth="1"/>
    <col min="1170" max="1170" width="15.5546875" style="5" customWidth="1"/>
    <col min="1171" max="1171" width="11.109375" style="5" customWidth="1"/>
    <col min="1172" max="1174" width="0" style="5" hidden="1" customWidth="1"/>
    <col min="1175" max="1176" width="8.6640625" style="5" customWidth="1"/>
    <col min="1177" max="1177" width="5.33203125" style="5" customWidth="1"/>
    <col min="1178" max="1178" width="6.44140625" style="5" customWidth="1"/>
    <col min="1179" max="1179" width="16.6640625" style="5" customWidth="1"/>
    <col min="1180" max="1180" width="12" style="5" customWidth="1"/>
    <col min="1181" max="1181" width="9.109375" style="5" customWidth="1"/>
    <col min="1182" max="1182" width="9.44140625" style="5" customWidth="1"/>
    <col min="1183" max="1183" width="16.5546875" style="5" customWidth="1"/>
    <col min="1184" max="1184" width="6.5546875" style="5" customWidth="1"/>
    <col min="1185" max="1185" width="11.6640625" style="5" customWidth="1"/>
    <col min="1186" max="1186" width="8.88671875" style="5" customWidth="1"/>
    <col min="1187" max="1187" width="7.44140625" style="5" customWidth="1"/>
    <col min="1188" max="1188" width="4.88671875" style="5" customWidth="1"/>
    <col min="1189" max="1189" width="6.33203125" style="5" customWidth="1"/>
    <col min="1190" max="1190" width="2.5546875" style="5" customWidth="1"/>
    <col min="1191" max="1191" width="5.88671875" style="5" customWidth="1"/>
    <col min="1192" max="1192" width="1" style="5" customWidth="1"/>
    <col min="1193" max="1195" width="11.109375" style="5" customWidth="1"/>
    <col min="1196" max="1196" width="10.5546875" style="5" customWidth="1"/>
    <col min="1197" max="1197" width="10.88671875" style="5" customWidth="1"/>
    <col min="1198" max="1230" width="11" style="5" customWidth="1"/>
    <col min="1231" max="1411" width="11" style="5"/>
    <col min="1412" max="1412" width="13.88671875" style="5" customWidth="1"/>
    <col min="1413" max="1413" width="6.33203125" style="5" customWidth="1"/>
    <col min="1414" max="1414" width="7.33203125" style="5" customWidth="1"/>
    <col min="1415" max="1415" width="7.6640625" style="5" customWidth="1"/>
    <col min="1416" max="1422" width="6.6640625" style="5" customWidth="1"/>
    <col min="1423" max="1423" width="7.33203125" style="5" customWidth="1"/>
    <col min="1424" max="1424" width="7.44140625" style="5" customWidth="1"/>
    <col min="1425" max="1425" width="9.33203125" style="5" customWidth="1"/>
    <col min="1426" max="1426" width="15.5546875" style="5" customWidth="1"/>
    <col min="1427" max="1427" width="11.109375" style="5" customWidth="1"/>
    <col min="1428" max="1430" width="0" style="5" hidden="1" customWidth="1"/>
    <col min="1431" max="1432" width="8.6640625" style="5" customWidth="1"/>
    <col min="1433" max="1433" width="5.33203125" style="5" customWidth="1"/>
    <col min="1434" max="1434" width="6.44140625" style="5" customWidth="1"/>
    <col min="1435" max="1435" width="16.6640625" style="5" customWidth="1"/>
    <col min="1436" max="1436" width="12" style="5" customWidth="1"/>
    <col min="1437" max="1437" width="9.109375" style="5" customWidth="1"/>
    <col min="1438" max="1438" width="9.44140625" style="5" customWidth="1"/>
    <col min="1439" max="1439" width="16.5546875" style="5" customWidth="1"/>
    <col min="1440" max="1440" width="6.5546875" style="5" customWidth="1"/>
    <col min="1441" max="1441" width="11.6640625" style="5" customWidth="1"/>
    <col min="1442" max="1442" width="8.88671875" style="5" customWidth="1"/>
    <col min="1443" max="1443" width="7.44140625" style="5" customWidth="1"/>
    <col min="1444" max="1444" width="4.88671875" style="5" customWidth="1"/>
    <col min="1445" max="1445" width="6.33203125" style="5" customWidth="1"/>
    <col min="1446" max="1446" width="2.5546875" style="5" customWidth="1"/>
    <col min="1447" max="1447" width="5.88671875" style="5" customWidth="1"/>
    <col min="1448" max="1448" width="1" style="5" customWidth="1"/>
    <col min="1449" max="1451" width="11.109375" style="5" customWidth="1"/>
    <col min="1452" max="1452" width="10.5546875" style="5" customWidth="1"/>
    <col min="1453" max="1453" width="10.88671875" style="5" customWidth="1"/>
    <col min="1454" max="1486" width="11" style="5" customWidth="1"/>
    <col min="1487" max="1667" width="11" style="5"/>
    <col min="1668" max="1668" width="13.88671875" style="5" customWidth="1"/>
    <col min="1669" max="1669" width="6.33203125" style="5" customWidth="1"/>
    <col min="1670" max="1670" width="7.33203125" style="5" customWidth="1"/>
    <col min="1671" max="1671" width="7.6640625" style="5" customWidth="1"/>
    <col min="1672" max="1678" width="6.6640625" style="5" customWidth="1"/>
    <col min="1679" max="1679" width="7.33203125" style="5" customWidth="1"/>
    <col min="1680" max="1680" width="7.44140625" style="5" customWidth="1"/>
    <col min="1681" max="1681" width="9.33203125" style="5" customWidth="1"/>
    <col min="1682" max="1682" width="15.5546875" style="5" customWidth="1"/>
    <col min="1683" max="1683" width="11.109375" style="5" customWidth="1"/>
    <col min="1684" max="1686" width="0" style="5" hidden="1" customWidth="1"/>
    <col min="1687" max="1688" width="8.6640625" style="5" customWidth="1"/>
    <col min="1689" max="1689" width="5.33203125" style="5" customWidth="1"/>
    <col min="1690" max="1690" width="6.44140625" style="5" customWidth="1"/>
    <col min="1691" max="1691" width="16.6640625" style="5" customWidth="1"/>
    <col min="1692" max="1692" width="12" style="5" customWidth="1"/>
    <col min="1693" max="1693" width="9.109375" style="5" customWidth="1"/>
    <col min="1694" max="1694" width="9.44140625" style="5" customWidth="1"/>
    <col min="1695" max="1695" width="16.5546875" style="5" customWidth="1"/>
    <col min="1696" max="1696" width="6.5546875" style="5" customWidth="1"/>
    <col min="1697" max="1697" width="11.6640625" style="5" customWidth="1"/>
    <col min="1698" max="1698" width="8.88671875" style="5" customWidth="1"/>
    <col min="1699" max="1699" width="7.44140625" style="5" customWidth="1"/>
    <col min="1700" max="1700" width="4.88671875" style="5" customWidth="1"/>
    <col min="1701" max="1701" width="6.33203125" style="5" customWidth="1"/>
    <col min="1702" max="1702" width="2.5546875" style="5" customWidth="1"/>
    <col min="1703" max="1703" width="5.88671875" style="5" customWidth="1"/>
    <col min="1704" max="1704" width="1" style="5" customWidth="1"/>
    <col min="1705" max="1707" width="11.109375" style="5" customWidth="1"/>
    <col min="1708" max="1708" width="10.5546875" style="5" customWidth="1"/>
    <col min="1709" max="1709" width="10.88671875" style="5" customWidth="1"/>
    <col min="1710" max="1742" width="11" style="5" customWidth="1"/>
    <col min="1743" max="1923" width="11" style="5"/>
    <col min="1924" max="1924" width="13.88671875" style="5" customWidth="1"/>
    <col min="1925" max="1925" width="6.33203125" style="5" customWidth="1"/>
    <col min="1926" max="1926" width="7.33203125" style="5" customWidth="1"/>
    <col min="1927" max="1927" width="7.6640625" style="5" customWidth="1"/>
    <col min="1928" max="1934" width="6.6640625" style="5" customWidth="1"/>
    <col min="1935" max="1935" width="7.33203125" style="5" customWidth="1"/>
    <col min="1936" max="1936" width="7.44140625" style="5" customWidth="1"/>
    <col min="1937" max="1937" width="9.33203125" style="5" customWidth="1"/>
    <col min="1938" max="1938" width="15.5546875" style="5" customWidth="1"/>
    <col min="1939" max="1939" width="11.109375" style="5" customWidth="1"/>
    <col min="1940" max="1942" width="0" style="5" hidden="1" customWidth="1"/>
    <col min="1943" max="1944" width="8.6640625" style="5" customWidth="1"/>
    <col min="1945" max="1945" width="5.33203125" style="5" customWidth="1"/>
    <col min="1946" max="1946" width="6.44140625" style="5" customWidth="1"/>
    <col min="1947" max="1947" width="16.6640625" style="5" customWidth="1"/>
    <col min="1948" max="1948" width="12" style="5" customWidth="1"/>
    <col min="1949" max="1949" width="9.109375" style="5" customWidth="1"/>
    <col min="1950" max="1950" width="9.44140625" style="5" customWidth="1"/>
    <col min="1951" max="1951" width="16.5546875" style="5" customWidth="1"/>
    <col min="1952" max="1952" width="6.5546875" style="5" customWidth="1"/>
    <col min="1953" max="1953" width="11.6640625" style="5" customWidth="1"/>
    <col min="1954" max="1954" width="8.88671875" style="5" customWidth="1"/>
    <col min="1955" max="1955" width="7.44140625" style="5" customWidth="1"/>
    <col min="1956" max="1956" width="4.88671875" style="5" customWidth="1"/>
    <col min="1957" max="1957" width="6.33203125" style="5" customWidth="1"/>
    <col min="1958" max="1958" width="2.5546875" style="5" customWidth="1"/>
    <col min="1959" max="1959" width="5.88671875" style="5" customWidth="1"/>
    <col min="1960" max="1960" width="1" style="5" customWidth="1"/>
    <col min="1961" max="1963" width="11.109375" style="5" customWidth="1"/>
    <col min="1964" max="1964" width="10.5546875" style="5" customWidth="1"/>
    <col min="1965" max="1965" width="10.88671875" style="5" customWidth="1"/>
    <col min="1966" max="1998" width="11" style="5" customWidth="1"/>
    <col min="1999" max="2179" width="11" style="5"/>
    <col min="2180" max="2180" width="13.88671875" style="5" customWidth="1"/>
    <col min="2181" max="2181" width="6.33203125" style="5" customWidth="1"/>
    <col min="2182" max="2182" width="7.33203125" style="5" customWidth="1"/>
    <col min="2183" max="2183" width="7.6640625" style="5" customWidth="1"/>
    <col min="2184" max="2190" width="6.6640625" style="5" customWidth="1"/>
    <col min="2191" max="2191" width="7.33203125" style="5" customWidth="1"/>
    <col min="2192" max="2192" width="7.44140625" style="5" customWidth="1"/>
    <col min="2193" max="2193" width="9.33203125" style="5" customWidth="1"/>
    <col min="2194" max="2194" width="15.5546875" style="5" customWidth="1"/>
    <col min="2195" max="2195" width="11.109375" style="5" customWidth="1"/>
    <col min="2196" max="2198" width="0" style="5" hidden="1" customWidth="1"/>
    <col min="2199" max="2200" width="8.6640625" style="5" customWidth="1"/>
    <col min="2201" max="2201" width="5.33203125" style="5" customWidth="1"/>
    <col min="2202" max="2202" width="6.44140625" style="5" customWidth="1"/>
    <col min="2203" max="2203" width="16.6640625" style="5" customWidth="1"/>
    <col min="2204" max="2204" width="12" style="5" customWidth="1"/>
    <col min="2205" max="2205" width="9.109375" style="5" customWidth="1"/>
    <col min="2206" max="2206" width="9.44140625" style="5" customWidth="1"/>
    <col min="2207" max="2207" width="16.5546875" style="5" customWidth="1"/>
    <col min="2208" max="2208" width="6.5546875" style="5" customWidth="1"/>
    <col min="2209" max="2209" width="11.6640625" style="5" customWidth="1"/>
    <col min="2210" max="2210" width="8.88671875" style="5" customWidth="1"/>
    <col min="2211" max="2211" width="7.44140625" style="5" customWidth="1"/>
    <col min="2212" max="2212" width="4.88671875" style="5" customWidth="1"/>
    <col min="2213" max="2213" width="6.33203125" style="5" customWidth="1"/>
    <col min="2214" max="2214" width="2.5546875" style="5" customWidth="1"/>
    <col min="2215" max="2215" width="5.88671875" style="5" customWidth="1"/>
    <col min="2216" max="2216" width="1" style="5" customWidth="1"/>
    <col min="2217" max="2219" width="11.109375" style="5" customWidth="1"/>
    <col min="2220" max="2220" width="10.5546875" style="5" customWidth="1"/>
    <col min="2221" max="2221" width="10.88671875" style="5" customWidth="1"/>
    <col min="2222" max="2254" width="11" style="5" customWidth="1"/>
    <col min="2255" max="2435" width="11" style="5"/>
    <col min="2436" max="2436" width="13.88671875" style="5" customWidth="1"/>
    <col min="2437" max="2437" width="6.33203125" style="5" customWidth="1"/>
    <col min="2438" max="2438" width="7.33203125" style="5" customWidth="1"/>
    <col min="2439" max="2439" width="7.6640625" style="5" customWidth="1"/>
    <col min="2440" max="2446" width="6.6640625" style="5" customWidth="1"/>
    <col min="2447" max="2447" width="7.33203125" style="5" customWidth="1"/>
    <col min="2448" max="2448" width="7.44140625" style="5" customWidth="1"/>
    <col min="2449" max="2449" width="9.33203125" style="5" customWidth="1"/>
    <col min="2450" max="2450" width="15.5546875" style="5" customWidth="1"/>
    <col min="2451" max="2451" width="11.109375" style="5" customWidth="1"/>
    <col min="2452" max="2454" width="0" style="5" hidden="1" customWidth="1"/>
    <col min="2455" max="2456" width="8.6640625" style="5" customWidth="1"/>
    <col min="2457" max="2457" width="5.33203125" style="5" customWidth="1"/>
    <col min="2458" max="2458" width="6.44140625" style="5" customWidth="1"/>
    <col min="2459" max="2459" width="16.6640625" style="5" customWidth="1"/>
    <col min="2460" max="2460" width="12" style="5" customWidth="1"/>
    <col min="2461" max="2461" width="9.109375" style="5" customWidth="1"/>
    <col min="2462" max="2462" width="9.44140625" style="5" customWidth="1"/>
    <col min="2463" max="2463" width="16.5546875" style="5" customWidth="1"/>
    <col min="2464" max="2464" width="6.5546875" style="5" customWidth="1"/>
    <col min="2465" max="2465" width="11.6640625" style="5" customWidth="1"/>
    <col min="2466" max="2466" width="8.88671875" style="5" customWidth="1"/>
    <col min="2467" max="2467" width="7.44140625" style="5" customWidth="1"/>
    <col min="2468" max="2468" width="4.88671875" style="5" customWidth="1"/>
    <col min="2469" max="2469" width="6.33203125" style="5" customWidth="1"/>
    <col min="2470" max="2470" width="2.5546875" style="5" customWidth="1"/>
    <col min="2471" max="2471" width="5.88671875" style="5" customWidth="1"/>
    <col min="2472" max="2472" width="1" style="5" customWidth="1"/>
    <col min="2473" max="2475" width="11.109375" style="5" customWidth="1"/>
    <col min="2476" max="2476" width="10.5546875" style="5" customWidth="1"/>
    <col min="2477" max="2477" width="10.88671875" style="5" customWidth="1"/>
    <col min="2478" max="2510" width="11" style="5" customWidth="1"/>
    <col min="2511" max="2691" width="11" style="5"/>
    <col min="2692" max="2692" width="13.88671875" style="5" customWidth="1"/>
    <col min="2693" max="2693" width="6.33203125" style="5" customWidth="1"/>
    <col min="2694" max="2694" width="7.33203125" style="5" customWidth="1"/>
    <col min="2695" max="2695" width="7.6640625" style="5" customWidth="1"/>
    <col min="2696" max="2702" width="6.6640625" style="5" customWidth="1"/>
    <col min="2703" max="2703" width="7.33203125" style="5" customWidth="1"/>
    <col min="2704" max="2704" width="7.44140625" style="5" customWidth="1"/>
    <col min="2705" max="2705" width="9.33203125" style="5" customWidth="1"/>
    <col min="2706" max="2706" width="15.5546875" style="5" customWidth="1"/>
    <col min="2707" max="2707" width="11.109375" style="5" customWidth="1"/>
    <col min="2708" max="2710" width="0" style="5" hidden="1" customWidth="1"/>
    <col min="2711" max="2712" width="8.6640625" style="5" customWidth="1"/>
    <col min="2713" max="2713" width="5.33203125" style="5" customWidth="1"/>
    <col min="2714" max="2714" width="6.44140625" style="5" customWidth="1"/>
    <col min="2715" max="2715" width="16.6640625" style="5" customWidth="1"/>
    <col min="2716" max="2716" width="12" style="5" customWidth="1"/>
    <col min="2717" max="2717" width="9.109375" style="5" customWidth="1"/>
    <col min="2718" max="2718" width="9.44140625" style="5" customWidth="1"/>
    <col min="2719" max="2719" width="16.5546875" style="5" customWidth="1"/>
    <col min="2720" max="2720" width="6.5546875" style="5" customWidth="1"/>
    <col min="2721" max="2721" width="11.6640625" style="5" customWidth="1"/>
    <col min="2722" max="2722" width="8.88671875" style="5" customWidth="1"/>
    <col min="2723" max="2723" width="7.44140625" style="5" customWidth="1"/>
    <col min="2724" max="2724" width="4.88671875" style="5" customWidth="1"/>
    <col min="2725" max="2725" width="6.33203125" style="5" customWidth="1"/>
    <col min="2726" max="2726" width="2.5546875" style="5" customWidth="1"/>
    <col min="2727" max="2727" width="5.88671875" style="5" customWidth="1"/>
    <col min="2728" max="2728" width="1" style="5" customWidth="1"/>
    <col min="2729" max="2731" width="11.109375" style="5" customWidth="1"/>
    <col min="2732" max="2732" width="10.5546875" style="5" customWidth="1"/>
    <col min="2733" max="2733" width="10.88671875" style="5" customWidth="1"/>
    <col min="2734" max="2766" width="11" style="5" customWidth="1"/>
    <col min="2767" max="2947" width="11" style="5"/>
    <col min="2948" max="2948" width="13.88671875" style="5" customWidth="1"/>
    <col min="2949" max="2949" width="6.33203125" style="5" customWidth="1"/>
    <col min="2950" max="2950" width="7.33203125" style="5" customWidth="1"/>
    <col min="2951" max="2951" width="7.6640625" style="5" customWidth="1"/>
    <col min="2952" max="2958" width="6.6640625" style="5" customWidth="1"/>
    <col min="2959" max="2959" width="7.33203125" style="5" customWidth="1"/>
    <col min="2960" max="2960" width="7.44140625" style="5" customWidth="1"/>
    <col min="2961" max="2961" width="9.33203125" style="5" customWidth="1"/>
    <col min="2962" max="2962" width="15.5546875" style="5" customWidth="1"/>
    <col min="2963" max="2963" width="11.109375" style="5" customWidth="1"/>
    <col min="2964" max="2966" width="0" style="5" hidden="1" customWidth="1"/>
    <col min="2967" max="2968" width="8.6640625" style="5" customWidth="1"/>
    <col min="2969" max="2969" width="5.33203125" style="5" customWidth="1"/>
    <col min="2970" max="2970" width="6.44140625" style="5" customWidth="1"/>
    <col min="2971" max="2971" width="16.6640625" style="5" customWidth="1"/>
    <col min="2972" max="2972" width="12" style="5" customWidth="1"/>
    <col min="2973" max="2973" width="9.109375" style="5" customWidth="1"/>
    <col min="2974" max="2974" width="9.44140625" style="5" customWidth="1"/>
    <col min="2975" max="2975" width="16.5546875" style="5" customWidth="1"/>
    <col min="2976" max="2976" width="6.5546875" style="5" customWidth="1"/>
    <col min="2977" max="2977" width="11.6640625" style="5" customWidth="1"/>
    <col min="2978" max="2978" width="8.88671875" style="5" customWidth="1"/>
    <col min="2979" max="2979" width="7.44140625" style="5" customWidth="1"/>
    <col min="2980" max="2980" width="4.88671875" style="5" customWidth="1"/>
    <col min="2981" max="2981" width="6.33203125" style="5" customWidth="1"/>
    <col min="2982" max="2982" width="2.5546875" style="5" customWidth="1"/>
    <col min="2983" max="2983" width="5.88671875" style="5" customWidth="1"/>
    <col min="2984" max="2984" width="1" style="5" customWidth="1"/>
    <col min="2985" max="2987" width="11.109375" style="5" customWidth="1"/>
    <col min="2988" max="2988" width="10.5546875" style="5" customWidth="1"/>
    <col min="2989" max="2989" width="10.88671875" style="5" customWidth="1"/>
    <col min="2990" max="3022" width="11" style="5" customWidth="1"/>
    <col min="3023" max="3203" width="11" style="5"/>
    <col min="3204" max="3204" width="13.88671875" style="5" customWidth="1"/>
    <col min="3205" max="3205" width="6.33203125" style="5" customWidth="1"/>
    <col min="3206" max="3206" width="7.33203125" style="5" customWidth="1"/>
    <col min="3207" max="3207" width="7.6640625" style="5" customWidth="1"/>
    <col min="3208" max="3214" width="6.6640625" style="5" customWidth="1"/>
    <col min="3215" max="3215" width="7.33203125" style="5" customWidth="1"/>
    <col min="3216" max="3216" width="7.44140625" style="5" customWidth="1"/>
    <col min="3217" max="3217" width="9.33203125" style="5" customWidth="1"/>
    <col min="3218" max="3218" width="15.5546875" style="5" customWidth="1"/>
    <col min="3219" max="3219" width="11.109375" style="5" customWidth="1"/>
    <col min="3220" max="3222" width="0" style="5" hidden="1" customWidth="1"/>
    <col min="3223" max="3224" width="8.6640625" style="5" customWidth="1"/>
    <col min="3225" max="3225" width="5.33203125" style="5" customWidth="1"/>
    <col min="3226" max="3226" width="6.44140625" style="5" customWidth="1"/>
    <col min="3227" max="3227" width="16.6640625" style="5" customWidth="1"/>
    <col min="3228" max="3228" width="12" style="5" customWidth="1"/>
    <col min="3229" max="3229" width="9.109375" style="5" customWidth="1"/>
    <col min="3230" max="3230" width="9.44140625" style="5" customWidth="1"/>
    <col min="3231" max="3231" width="16.5546875" style="5" customWidth="1"/>
    <col min="3232" max="3232" width="6.5546875" style="5" customWidth="1"/>
    <col min="3233" max="3233" width="11.6640625" style="5" customWidth="1"/>
    <col min="3234" max="3234" width="8.88671875" style="5" customWidth="1"/>
    <col min="3235" max="3235" width="7.44140625" style="5" customWidth="1"/>
    <col min="3236" max="3236" width="4.88671875" style="5" customWidth="1"/>
    <col min="3237" max="3237" width="6.33203125" style="5" customWidth="1"/>
    <col min="3238" max="3238" width="2.5546875" style="5" customWidth="1"/>
    <col min="3239" max="3239" width="5.88671875" style="5" customWidth="1"/>
    <col min="3240" max="3240" width="1" style="5" customWidth="1"/>
    <col min="3241" max="3243" width="11.109375" style="5" customWidth="1"/>
    <col min="3244" max="3244" width="10.5546875" style="5" customWidth="1"/>
    <col min="3245" max="3245" width="10.88671875" style="5" customWidth="1"/>
    <col min="3246" max="3278" width="11" style="5" customWidth="1"/>
    <col min="3279" max="3459" width="11" style="5"/>
    <col min="3460" max="3460" width="13.88671875" style="5" customWidth="1"/>
    <col min="3461" max="3461" width="6.33203125" style="5" customWidth="1"/>
    <col min="3462" max="3462" width="7.33203125" style="5" customWidth="1"/>
    <col min="3463" max="3463" width="7.6640625" style="5" customWidth="1"/>
    <col min="3464" max="3470" width="6.6640625" style="5" customWidth="1"/>
    <col min="3471" max="3471" width="7.33203125" style="5" customWidth="1"/>
    <col min="3472" max="3472" width="7.44140625" style="5" customWidth="1"/>
    <col min="3473" max="3473" width="9.33203125" style="5" customWidth="1"/>
    <col min="3474" max="3474" width="15.5546875" style="5" customWidth="1"/>
    <col min="3475" max="3475" width="11.109375" style="5" customWidth="1"/>
    <col min="3476" max="3478" width="0" style="5" hidden="1" customWidth="1"/>
    <col min="3479" max="3480" width="8.6640625" style="5" customWidth="1"/>
    <col min="3481" max="3481" width="5.33203125" style="5" customWidth="1"/>
    <col min="3482" max="3482" width="6.44140625" style="5" customWidth="1"/>
    <col min="3483" max="3483" width="16.6640625" style="5" customWidth="1"/>
    <col min="3484" max="3484" width="12" style="5" customWidth="1"/>
    <col min="3485" max="3485" width="9.109375" style="5" customWidth="1"/>
    <col min="3486" max="3486" width="9.44140625" style="5" customWidth="1"/>
    <col min="3487" max="3487" width="16.5546875" style="5" customWidth="1"/>
    <col min="3488" max="3488" width="6.5546875" style="5" customWidth="1"/>
    <col min="3489" max="3489" width="11.6640625" style="5" customWidth="1"/>
    <col min="3490" max="3490" width="8.88671875" style="5" customWidth="1"/>
    <col min="3491" max="3491" width="7.44140625" style="5" customWidth="1"/>
    <col min="3492" max="3492" width="4.88671875" style="5" customWidth="1"/>
    <col min="3493" max="3493" width="6.33203125" style="5" customWidth="1"/>
    <col min="3494" max="3494" width="2.5546875" style="5" customWidth="1"/>
    <col min="3495" max="3495" width="5.88671875" style="5" customWidth="1"/>
    <col min="3496" max="3496" width="1" style="5" customWidth="1"/>
    <col min="3497" max="3499" width="11.109375" style="5" customWidth="1"/>
    <col min="3500" max="3500" width="10.5546875" style="5" customWidth="1"/>
    <col min="3501" max="3501" width="10.88671875" style="5" customWidth="1"/>
    <col min="3502" max="3534" width="11" style="5" customWidth="1"/>
    <col min="3535" max="3715" width="11" style="5"/>
    <col min="3716" max="3716" width="13.88671875" style="5" customWidth="1"/>
    <col min="3717" max="3717" width="6.33203125" style="5" customWidth="1"/>
    <col min="3718" max="3718" width="7.33203125" style="5" customWidth="1"/>
    <col min="3719" max="3719" width="7.6640625" style="5" customWidth="1"/>
    <col min="3720" max="3726" width="6.6640625" style="5" customWidth="1"/>
    <col min="3727" max="3727" width="7.33203125" style="5" customWidth="1"/>
    <col min="3728" max="3728" width="7.44140625" style="5" customWidth="1"/>
    <col min="3729" max="3729" width="9.33203125" style="5" customWidth="1"/>
    <col min="3730" max="3730" width="15.5546875" style="5" customWidth="1"/>
    <col min="3731" max="3731" width="11.109375" style="5" customWidth="1"/>
    <col min="3732" max="3734" width="0" style="5" hidden="1" customWidth="1"/>
    <col min="3735" max="3736" width="8.6640625" style="5" customWidth="1"/>
    <col min="3737" max="3737" width="5.33203125" style="5" customWidth="1"/>
    <col min="3738" max="3738" width="6.44140625" style="5" customWidth="1"/>
    <col min="3739" max="3739" width="16.6640625" style="5" customWidth="1"/>
    <col min="3740" max="3740" width="12" style="5" customWidth="1"/>
    <col min="3741" max="3741" width="9.109375" style="5" customWidth="1"/>
    <col min="3742" max="3742" width="9.44140625" style="5" customWidth="1"/>
    <col min="3743" max="3743" width="16.5546875" style="5" customWidth="1"/>
    <col min="3744" max="3744" width="6.5546875" style="5" customWidth="1"/>
    <col min="3745" max="3745" width="11.6640625" style="5" customWidth="1"/>
    <col min="3746" max="3746" width="8.88671875" style="5" customWidth="1"/>
    <col min="3747" max="3747" width="7.44140625" style="5" customWidth="1"/>
    <col min="3748" max="3748" width="4.88671875" style="5" customWidth="1"/>
    <col min="3749" max="3749" width="6.33203125" style="5" customWidth="1"/>
    <col min="3750" max="3750" width="2.5546875" style="5" customWidth="1"/>
    <col min="3751" max="3751" width="5.88671875" style="5" customWidth="1"/>
    <col min="3752" max="3752" width="1" style="5" customWidth="1"/>
    <col min="3753" max="3755" width="11.109375" style="5" customWidth="1"/>
    <col min="3756" max="3756" width="10.5546875" style="5" customWidth="1"/>
    <col min="3757" max="3757" width="10.88671875" style="5" customWidth="1"/>
    <col min="3758" max="3790" width="11" style="5" customWidth="1"/>
    <col min="3791" max="3971" width="11" style="5"/>
    <col min="3972" max="3972" width="13.88671875" style="5" customWidth="1"/>
    <col min="3973" max="3973" width="6.33203125" style="5" customWidth="1"/>
    <col min="3974" max="3974" width="7.33203125" style="5" customWidth="1"/>
    <col min="3975" max="3975" width="7.6640625" style="5" customWidth="1"/>
    <col min="3976" max="3982" width="6.6640625" style="5" customWidth="1"/>
    <col min="3983" max="3983" width="7.33203125" style="5" customWidth="1"/>
    <col min="3984" max="3984" width="7.44140625" style="5" customWidth="1"/>
    <col min="3985" max="3985" width="9.33203125" style="5" customWidth="1"/>
    <col min="3986" max="3986" width="15.5546875" style="5" customWidth="1"/>
    <col min="3987" max="3987" width="11.109375" style="5" customWidth="1"/>
    <col min="3988" max="3990" width="0" style="5" hidden="1" customWidth="1"/>
    <col min="3991" max="3992" width="8.6640625" style="5" customWidth="1"/>
    <col min="3993" max="3993" width="5.33203125" style="5" customWidth="1"/>
    <col min="3994" max="3994" width="6.44140625" style="5" customWidth="1"/>
    <col min="3995" max="3995" width="16.6640625" style="5" customWidth="1"/>
    <col min="3996" max="3996" width="12" style="5" customWidth="1"/>
    <col min="3997" max="3997" width="9.109375" style="5" customWidth="1"/>
    <col min="3998" max="3998" width="9.44140625" style="5" customWidth="1"/>
    <col min="3999" max="3999" width="16.5546875" style="5" customWidth="1"/>
    <col min="4000" max="4000" width="6.5546875" style="5" customWidth="1"/>
    <col min="4001" max="4001" width="11.6640625" style="5" customWidth="1"/>
    <col min="4002" max="4002" width="8.88671875" style="5" customWidth="1"/>
    <col min="4003" max="4003" width="7.44140625" style="5" customWidth="1"/>
    <col min="4004" max="4004" width="4.88671875" style="5" customWidth="1"/>
    <col min="4005" max="4005" width="6.33203125" style="5" customWidth="1"/>
    <col min="4006" max="4006" width="2.5546875" style="5" customWidth="1"/>
    <col min="4007" max="4007" width="5.88671875" style="5" customWidth="1"/>
    <col min="4008" max="4008" width="1" style="5" customWidth="1"/>
    <col min="4009" max="4011" width="11.109375" style="5" customWidth="1"/>
    <col min="4012" max="4012" width="10.5546875" style="5" customWidth="1"/>
    <col min="4013" max="4013" width="10.88671875" style="5" customWidth="1"/>
    <col min="4014" max="4046" width="11" style="5" customWidth="1"/>
    <col min="4047" max="4227" width="11" style="5"/>
    <col min="4228" max="4228" width="13.88671875" style="5" customWidth="1"/>
    <col min="4229" max="4229" width="6.33203125" style="5" customWidth="1"/>
    <col min="4230" max="4230" width="7.33203125" style="5" customWidth="1"/>
    <col min="4231" max="4231" width="7.6640625" style="5" customWidth="1"/>
    <col min="4232" max="4238" width="6.6640625" style="5" customWidth="1"/>
    <col min="4239" max="4239" width="7.33203125" style="5" customWidth="1"/>
    <col min="4240" max="4240" width="7.44140625" style="5" customWidth="1"/>
    <col min="4241" max="4241" width="9.33203125" style="5" customWidth="1"/>
    <col min="4242" max="4242" width="15.5546875" style="5" customWidth="1"/>
    <col min="4243" max="4243" width="11.109375" style="5" customWidth="1"/>
    <col min="4244" max="4246" width="0" style="5" hidden="1" customWidth="1"/>
    <col min="4247" max="4248" width="8.6640625" style="5" customWidth="1"/>
    <col min="4249" max="4249" width="5.33203125" style="5" customWidth="1"/>
    <col min="4250" max="4250" width="6.44140625" style="5" customWidth="1"/>
    <col min="4251" max="4251" width="16.6640625" style="5" customWidth="1"/>
    <col min="4252" max="4252" width="12" style="5" customWidth="1"/>
    <col min="4253" max="4253" width="9.109375" style="5" customWidth="1"/>
    <col min="4254" max="4254" width="9.44140625" style="5" customWidth="1"/>
    <col min="4255" max="4255" width="16.5546875" style="5" customWidth="1"/>
    <col min="4256" max="4256" width="6.5546875" style="5" customWidth="1"/>
    <col min="4257" max="4257" width="11.6640625" style="5" customWidth="1"/>
    <col min="4258" max="4258" width="8.88671875" style="5" customWidth="1"/>
    <col min="4259" max="4259" width="7.44140625" style="5" customWidth="1"/>
    <col min="4260" max="4260" width="4.88671875" style="5" customWidth="1"/>
    <col min="4261" max="4261" width="6.33203125" style="5" customWidth="1"/>
    <col min="4262" max="4262" width="2.5546875" style="5" customWidth="1"/>
    <col min="4263" max="4263" width="5.88671875" style="5" customWidth="1"/>
    <col min="4264" max="4264" width="1" style="5" customWidth="1"/>
    <col min="4265" max="4267" width="11.109375" style="5" customWidth="1"/>
    <col min="4268" max="4268" width="10.5546875" style="5" customWidth="1"/>
    <col min="4269" max="4269" width="10.88671875" style="5" customWidth="1"/>
    <col min="4270" max="4302" width="11" style="5" customWidth="1"/>
    <col min="4303" max="4483" width="11" style="5"/>
    <col min="4484" max="4484" width="13.88671875" style="5" customWidth="1"/>
    <col min="4485" max="4485" width="6.33203125" style="5" customWidth="1"/>
    <col min="4486" max="4486" width="7.33203125" style="5" customWidth="1"/>
    <col min="4487" max="4487" width="7.6640625" style="5" customWidth="1"/>
    <col min="4488" max="4494" width="6.6640625" style="5" customWidth="1"/>
    <col min="4495" max="4495" width="7.33203125" style="5" customWidth="1"/>
    <col min="4496" max="4496" width="7.44140625" style="5" customWidth="1"/>
    <col min="4497" max="4497" width="9.33203125" style="5" customWidth="1"/>
    <col min="4498" max="4498" width="15.5546875" style="5" customWidth="1"/>
    <col min="4499" max="4499" width="11.109375" style="5" customWidth="1"/>
    <col min="4500" max="4502" width="0" style="5" hidden="1" customWidth="1"/>
    <col min="4503" max="4504" width="8.6640625" style="5" customWidth="1"/>
    <col min="4505" max="4505" width="5.33203125" style="5" customWidth="1"/>
    <col min="4506" max="4506" width="6.44140625" style="5" customWidth="1"/>
    <col min="4507" max="4507" width="16.6640625" style="5" customWidth="1"/>
    <col min="4508" max="4508" width="12" style="5" customWidth="1"/>
    <col min="4509" max="4509" width="9.109375" style="5" customWidth="1"/>
    <col min="4510" max="4510" width="9.44140625" style="5" customWidth="1"/>
    <col min="4511" max="4511" width="16.5546875" style="5" customWidth="1"/>
    <col min="4512" max="4512" width="6.5546875" style="5" customWidth="1"/>
    <col min="4513" max="4513" width="11.6640625" style="5" customWidth="1"/>
    <col min="4514" max="4514" width="8.88671875" style="5" customWidth="1"/>
    <col min="4515" max="4515" width="7.44140625" style="5" customWidth="1"/>
    <col min="4516" max="4516" width="4.88671875" style="5" customWidth="1"/>
    <col min="4517" max="4517" width="6.33203125" style="5" customWidth="1"/>
    <col min="4518" max="4518" width="2.5546875" style="5" customWidth="1"/>
    <col min="4519" max="4519" width="5.88671875" style="5" customWidth="1"/>
    <col min="4520" max="4520" width="1" style="5" customWidth="1"/>
    <col min="4521" max="4523" width="11.109375" style="5" customWidth="1"/>
    <col min="4524" max="4524" width="10.5546875" style="5" customWidth="1"/>
    <col min="4525" max="4525" width="10.88671875" style="5" customWidth="1"/>
    <col min="4526" max="4558" width="11" style="5" customWidth="1"/>
    <col min="4559" max="4739" width="11" style="5"/>
    <col min="4740" max="4740" width="13.88671875" style="5" customWidth="1"/>
    <col min="4741" max="4741" width="6.33203125" style="5" customWidth="1"/>
    <col min="4742" max="4742" width="7.33203125" style="5" customWidth="1"/>
    <col min="4743" max="4743" width="7.6640625" style="5" customWidth="1"/>
    <col min="4744" max="4750" width="6.6640625" style="5" customWidth="1"/>
    <col min="4751" max="4751" width="7.33203125" style="5" customWidth="1"/>
    <col min="4752" max="4752" width="7.44140625" style="5" customWidth="1"/>
    <col min="4753" max="4753" width="9.33203125" style="5" customWidth="1"/>
    <col min="4754" max="4754" width="15.5546875" style="5" customWidth="1"/>
    <col min="4755" max="4755" width="11.109375" style="5" customWidth="1"/>
    <col min="4756" max="4758" width="0" style="5" hidden="1" customWidth="1"/>
    <col min="4759" max="4760" width="8.6640625" style="5" customWidth="1"/>
    <col min="4761" max="4761" width="5.33203125" style="5" customWidth="1"/>
    <col min="4762" max="4762" width="6.44140625" style="5" customWidth="1"/>
    <col min="4763" max="4763" width="16.6640625" style="5" customWidth="1"/>
    <col min="4764" max="4764" width="12" style="5" customWidth="1"/>
    <col min="4765" max="4765" width="9.109375" style="5" customWidth="1"/>
    <col min="4766" max="4766" width="9.44140625" style="5" customWidth="1"/>
    <col min="4767" max="4767" width="16.5546875" style="5" customWidth="1"/>
    <col min="4768" max="4768" width="6.5546875" style="5" customWidth="1"/>
    <col min="4769" max="4769" width="11.6640625" style="5" customWidth="1"/>
    <col min="4770" max="4770" width="8.88671875" style="5" customWidth="1"/>
    <col min="4771" max="4771" width="7.44140625" style="5" customWidth="1"/>
    <col min="4772" max="4772" width="4.88671875" style="5" customWidth="1"/>
    <col min="4773" max="4773" width="6.33203125" style="5" customWidth="1"/>
    <col min="4774" max="4774" width="2.5546875" style="5" customWidth="1"/>
    <col min="4775" max="4775" width="5.88671875" style="5" customWidth="1"/>
    <col min="4776" max="4776" width="1" style="5" customWidth="1"/>
    <col min="4777" max="4779" width="11.109375" style="5" customWidth="1"/>
    <col min="4780" max="4780" width="10.5546875" style="5" customWidth="1"/>
    <col min="4781" max="4781" width="10.88671875" style="5" customWidth="1"/>
    <col min="4782" max="4814" width="11" style="5" customWidth="1"/>
    <col min="4815" max="4995" width="11" style="5"/>
    <col min="4996" max="4996" width="13.88671875" style="5" customWidth="1"/>
    <col min="4997" max="4997" width="6.33203125" style="5" customWidth="1"/>
    <col min="4998" max="4998" width="7.33203125" style="5" customWidth="1"/>
    <col min="4999" max="4999" width="7.6640625" style="5" customWidth="1"/>
    <col min="5000" max="5006" width="6.6640625" style="5" customWidth="1"/>
    <col min="5007" max="5007" width="7.33203125" style="5" customWidth="1"/>
    <col min="5008" max="5008" width="7.44140625" style="5" customWidth="1"/>
    <col min="5009" max="5009" width="9.33203125" style="5" customWidth="1"/>
    <col min="5010" max="5010" width="15.5546875" style="5" customWidth="1"/>
    <col min="5011" max="5011" width="11.109375" style="5" customWidth="1"/>
    <col min="5012" max="5014" width="0" style="5" hidden="1" customWidth="1"/>
    <col min="5015" max="5016" width="8.6640625" style="5" customWidth="1"/>
    <col min="5017" max="5017" width="5.33203125" style="5" customWidth="1"/>
    <col min="5018" max="5018" width="6.44140625" style="5" customWidth="1"/>
    <col min="5019" max="5019" width="16.6640625" style="5" customWidth="1"/>
    <col min="5020" max="5020" width="12" style="5" customWidth="1"/>
    <col min="5021" max="5021" width="9.109375" style="5" customWidth="1"/>
    <col min="5022" max="5022" width="9.44140625" style="5" customWidth="1"/>
    <col min="5023" max="5023" width="16.5546875" style="5" customWidth="1"/>
    <col min="5024" max="5024" width="6.5546875" style="5" customWidth="1"/>
    <col min="5025" max="5025" width="11.6640625" style="5" customWidth="1"/>
    <col min="5026" max="5026" width="8.88671875" style="5" customWidth="1"/>
    <col min="5027" max="5027" width="7.44140625" style="5" customWidth="1"/>
    <col min="5028" max="5028" width="4.88671875" style="5" customWidth="1"/>
    <col min="5029" max="5029" width="6.33203125" style="5" customWidth="1"/>
    <col min="5030" max="5030" width="2.5546875" style="5" customWidth="1"/>
    <col min="5031" max="5031" width="5.88671875" style="5" customWidth="1"/>
    <col min="5032" max="5032" width="1" style="5" customWidth="1"/>
    <col min="5033" max="5035" width="11.109375" style="5" customWidth="1"/>
    <col min="5036" max="5036" width="10.5546875" style="5" customWidth="1"/>
    <col min="5037" max="5037" width="10.88671875" style="5" customWidth="1"/>
    <col min="5038" max="5070" width="11" style="5" customWidth="1"/>
    <col min="5071" max="5251" width="11" style="5"/>
    <col min="5252" max="5252" width="13.88671875" style="5" customWidth="1"/>
    <col min="5253" max="5253" width="6.33203125" style="5" customWidth="1"/>
    <col min="5254" max="5254" width="7.33203125" style="5" customWidth="1"/>
    <col min="5255" max="5255" width="7.6640625" style="5" customWidth="1"/>
    <col min="5256" max="5262" width="6.6640625" style="5" customWidth="1"/>
    <col min="5263" max="5263" width="7.33203125" style="5" customWidth="1"/>
    <col min="5264" max="5264" width="7.44140625" style="5" customWidth="1"/>
    <col min="5265" max="5265" width="9.33203125" style="5" customWidth="1"/>
    <col min="5266" max="5266" width="15.5546875" style="5" customWidth="1"/>
    <col min="5267" max="5267" width="11.109375" style="5" customWidth="1"/>
    <col min="5268" max="5270" width="0" style="5" hidden="1" customWidth="1"/>
    <col min="5271" max="5272" width="8.6640625" style="5" customWidth="1"/>
    <col min="5273" max="5273" width="5.33203125" style="5" customWidth="1"/>
    <col min="5274" max="5274" width="6.44140625" style="5" customWidth="1"/>
    <col min="5275" max="5275" width="16.6640625" style="5" customWidth="1"/>
    <col min="5276" max="5276" width="12" style="5" customWidth="1"/>
    <col min="5277" max="5277" width="9.109375" style="5" customWidth="1"/>
    <col min="5278" max="5278" width="9.44140625" style="5" customWidth="1"/>
    <col min="5279" max="5279" width="16.5546875" style="5" customWidth="1"/>
    <col min="5280" max="5280" width="6.5546875" style="5" customWidth="1"/>
    <col min="5281" max="5281" width="11.6640625" style="5" customWidth="1"/>
    <col min="5282" max="5282" width="8.88671875" style="5" customWidth="1"/>
    <col min="5283" max="5283" width="7.44140625" style="5" customWidth="1"/>
    <col min="5284" max="5284" width="4.88671875" style="5" customWidth="1"/>
    <col min="5285" max="5285" width="6.33203125" style="5" customWidth="1"/>
    <col min="5286" max="5286" width="2.5546875" style="5" customWidth="1"/>
    <col min="5287" max="5287" width="5.88671875" style="5" customWidth="1"/>
    <col min="5288" max="5288" width="1" style="5" customWidth="1"/>
    <col min="5289" max="5291" width="11.109375" style="5" customWidth="1"/>
    <col min="5292" max="5292" width="10.5546875" style="5" customWidth="1"/>
    <col min="5293" max="5293" width="10.88671875" style="5" customWidth="1"/>
    <col min="5294" max="5326" width="11" style="5" customWidth="1"/>
    <col min="5327" max="5507" width="11" style="5"/>
    <col min="5508" max="5508" width="13.88671875" style="5" customWidth="1"/>
    <col min="5509" max="5509" width="6.33203125" style="5" customWidth="1"/>
    <col min="5510" max="5510" width="7.33203125" style="5" customWidth="1"/>
    <col min="5511" max="5511" width="7.6640625" style="5" customWidth="1"/>
    <col min="5512" max="5518" width="6.6640625" style="5" customWidth="1"/>
    <col min="5519" max="5519" width="7.33203125" style="5" customWidth="1"/>
    <col min="5520" max="5520" width="7.44140625" style="5" customWidth="1"/>
    <col min="5521" max="5521" width="9.33203125" style="5" customWidth="1"/>
    <col min="5522" max="5522" width="15.5546875" style="5" customWidth="1"/>
    <col min="5523" max="5523" width="11.109375" style="5" customWidth="1"/>
    <col min="5524" max="5526" width="0" style="5" hidden="1" customWidth="1"/>
    <col min="5527" max="5528" width="8.6640625" style="5" customWidth="1"/>
    <col min="5529" max="5529" width="5.33203125" style="5" customWidth="1"/>
    <col min="5530" max="5530" width="6.44140625" style="5" customWidth="1"/>
    <col min="5531" max="5531" width="16.6640625" style="5" customWidth="1"/>
    <col min="5532" max="5532" width="12" style="5" customWidth="1"/>
    <col min="5533" max="5533" width="9.109375" style="5" customWidth="1"/>
    <col min="5534" max="5534" width="9.44140625" style="5" customWidth="1"/>
    <col min="5535" max="5535" width="16.5546875" style="5" customWidth="1"/>
    <col min="5536" max="5536" width="6.5546875" style="5" customWidth="1"/>
    <col min="5537" max="5537" width="11.6640625" style="5" customWidth="1"/>
    <col min="5538" max="5538" width="8.88671875" style="5" customWidth="1"/>
    <col min="5539" max="5539" width="7.44140625" style="5" customWidth="1"/>
    <col min="5540" max="5540" width="4.88671875" style="5" customWidth="1"/>
    <col min="5541" max="5541" width="6.33203125" style="5" customWidth="1"/>
    <col min="5542" max="5542" width="2.5546875" style="5" customWidth="1"/>
    <col min="5543" max="5543" width="5.88671875" style="5" customWidth="1"/>
    <col min="5544" max="5544" width="1" style="5" customWidth="1"/>
    <col min="5545" max="5547" width="11.109375" style="5" customWidth="1"/>
    <col min="5548" max="5548" width="10.5546875" style="5" customWidth="1"/>
    <col min="5549" max="5549" width="10.88671875" style="5" customWidth="1"/>
    <col min="5550" max="5582" width="11" style="5" customWidth="1"/>
    <col min="5583" max="5763" width="11" style="5"/>
    <col min="5764" max="5764" width="13.88671875" style="5" customWidth="1"/>
    <col min="5765" max="5765" width="6.33203125" style="5" customWidth="1"/>
    <col min="5766" max="5766" width="7.33203125" style="5" customWidth="1"/>
    <col min="5767" max="5767" width="7.6640625" style="5" customWidth="1"/>
    <col min="5768" max="5774" width="6.6640625" style="5" customWidth="1"/>
    <col min="5775" max="5775" width="7.33203125" style="5" customWidth="1"/>
    <col min="5776" max="5776" width="7.44140625" style="5" customWidth="1"/>
    <col min="5777" max="5777" width="9.33203125" style="5" customWidth="1"/>
    <col min="5778" max="5778" width="15.5546875" style="5" customWidth="1"/>
    <col min="5779" max="5779" width="11.109375" style="5" customWidth="1"/>
    <col min="5780" max="5782" width="0" style="5" hidden="1" customWidth="1"/>
    <col min="5783" max="5784" width="8.6640625" style="5" customWidth="1"/>
    <col min="5785" max="5785" width="5.33203125" style="5" customWidth="1"/>
    <col min="5786" max="5786" width="6.44140625" style="5" customWidth="1"/>
    <col min="5787" max="5787" width="16.6640625" style="5" customWidth="1"/>
    <col min="5788" max="5788" width="12" style="5" customWidth="1"/>
    <col min="5789" max="5789" width="9.109375" style="5" customWidth="1"/>
    <col min="5790" max="5790" width="9.44140625" style="5" customWidth="1"/>
    <col min="5791" max="5791" width="16.5546875" style="5" customWidth="1"/>
    <col min="5792" max="5792" width="6.5546875" style="5" customWidth="1"/>
    <col min="5793" max="5793" width="11.6640625" style="5" customWidth="1"/>
    <col min="5794" max="5794" width="8.88671875" style="5" customWidth="1"/>
    <col min="5795" max="5795" width="7.44140625" style="5" customWidth="1"/>
    <col min="5796" max="5796" width="4.88671875" style="5" customWidth="1"/>
    <col min="5797" max="5797" width="6.33203125" style="5" customWidth="1"/>
    <col min="5798" max="5798" width="2.5546875" style="5" customWidth="1"/>
    <col min="5799" max="5799" width="5.88671875" style="5" customWidth="1"/>
    <col min="5800" max="5800" width="1" style="5" customWidth="1"/>
    <col min="5801" max="5803" width="11.109375" style="5" customWidth="1"/>
    <col min="5804" max="5804" width="10.5546875" style="5" customWidth="1"/>
    <col min="5805" max="5805" width="10.88671875" style="5" customWidth="1"/>
    <col min="5806" max="5838" width="11" style="5" customWidth="1"/>
    <col min="5839" max="6019" width="11" style="5"/>
    <col min="6020" max="6020" width="13.88671875" style="5" customWidth="1"/>
    <col min="6021" max="6021" width="6.33203125" style="5" customWidth="1"/>
    <col min="6022" max="6022" width="7.33203125" style="5" customWidth="1"/>
    <col min="6023" max="6023" width="7.6640625" style="5" customWidth="1"/>
    <col min="6024" max="6030" width="6.6640625" style="5" customWidth="1"/>
    <col min="6031" max="6031" width="7.33203125" style="5" customWidth="1"/>
    <col min="6032" max="6032" width="7.44140625" style="5" customWidth="1"/>
    <col min="6033" max="6033" width="9.33203125" style="5" customWidth="1"/>
    <col min="6034" max="6034" width="15.5546875" style="5" customWidth="1"/>
    <col min="6035" max="6035" width="11.109375" style="5" customWidth="1"/>
    <col min="6036" max="6038" width="0" style="5" hidden="1" customWidth="1"/>
    <col min="6039" max="6040" width="8.6640625" style="5" customWidth="1"/>
    <col min="6041" max="6041" width="5.33203125" style="5" customWidth="1"/>
    <col min="6042" max="6042" width="6.44140625" style="5" customWidth="1"/>
    <col min="6043" max="6043" width="16.6640625" style="5" customWidth="1"/>
    <col min="6044" max="6044" width="12" style="5" customWidth="1"/>
    <col min="6045" max="6045" width="9.109375" style="5" customWidth="1"/>
    <col min="6046" max="6046" width="9.44140625" style="5" customWidth="1"/>
    <col min="6047" max="6047" width="16.5546875" style="5" customWidth="1"/>
    <col min="6048" max="6048" width="6.5546875" style="5" customWidth="1"/>
    <col min="6049" max="6049" width="11.6640625" style="5" customWidth="1"/>
    <col min="6050" max="6050" width="8.88671875" style="5" customWidth="1"/>
    <col min="6051" max="6051" width="7.44140625" style="5" customWidth="1"/>
    <col min="6052" max="6052" width="4.88671875" style="5" customWidth="1"/>
    <col min="6053" max="6053" width="6.33203125" style="5" customWidth="1"/>
    <col min="6054" max="6054" width="2.5546875" style="5" customWidth="1"/>
    <col min="6055" max="6055" width="5.88671875" style="5" customWidth="1"/>
    <col min="6056" max="6056" width="1" style="5" customWidth="1"/>
    <col min="6057" max="6059" width="11.109375" style="5" customWidth="1"/>
    <col min="6060" max="6060" width="10.5546875" style="5" customWidth="1"/>
    <col min="6061" max="6061" width="10.88671875" style="5" customWidth="1"/>
    <col min="6062" max="6094" width="11" style="5" customWidth="1"/>
    <col min="6095" max="6275" width="11" style="5"/>
    <col min="6276" max="6276" width="13.88671875" style="5" customWidth="1"/>
    <col min="6277" max="6277" width="6.33203125" style="5" customWidth="1"/>
    <col min="6278" max="6278" width="7.33203125" style="5" customWidth="1"/>
    <col min="6279" max="6279" width="7.6640625" style="5" customWidth="1"/>
    <col min="6280" max="6286" width="6.6640625" style="5" customWidth="1"/>
    <col min="6287" max="6287" width="7.33203125" style="5" customWidth="1"/>
    <col min="6288" max="6288" width="7.44140625" style="5" customWidth="1"/>
    <col min="6289" max="6289" width="9.33203125" style="5" customWidth="1"/>
    <col min="6290" max="6290" width="15.5546875" style="5" customWidth="1"/>
    <col min="6291" max="6291" width="11.109375" style="5" customWidth="1"/>
    <col min="6292" max="6294" width="0" style="5" hidden="1" customWidth="1"/>
    <col min="6295" max="6296" width="8.6640625" style="5" customWidth="1"/>
    <col min="6297" max="6297" width="5.33203125" style="5" customWidth="1"/>
    <col min="6298" max="6298" width="6.44140625" style="5" customWidth="1"/>
    <col min="6299" max="6299" width="16.6640625" style="5" customWidth="1"/>
    <col min="6300" max="6300" width="12" style="5" customWidth="1"/>
    <col min="6301" max="6301" width="9.109375" style="5" customWidth="1"/>
    <col min="6302" max="6302" width="9.44140625" style="5" customWidth="1"/>
    <col min="6303" max="6303" width="16.5546875" style="5" customWidth="1"/>
    <col min="6304" max="6304" width="6.5546875" style="5" customWidth="1"/>
    <col min="6305" max="6305" width="11.6640625" style="5" customWidth="1"/>
    <col min="6306" max="6306" width="8.88671875" style="5" customWidth="1"/>
    <col min="6307" max="6307" width="7.44140625" style="5" customWidth="1"/>
    <col min="6308" max="6308" width="4.88671875" style="5" customWidth="1"/>
    <col min="6309" max="6309" width="6.33203125" style="5" customWidth="1"/>
    <col min="6310" max="6310" width="2.5546875" style="5" customWidth="1"/>
    <col min="6311" max="6311" width="5.88671875" style="5" customWidth="1"/>
    <col min="6312" max="6312" width="1" style="5" customWidth="1"/>
    <col min="6313" max="6315" width="11.109375" style="5" customWidth="1"/>
    <col min="6316" max="6316" width="10.5546875" style="5" customWidth="1"/>
    <col min="6317" max="6317" width="10.88671875" style="5" customWidth="1"/>
    <col min="6318" max="6350" width="11" style="5" customWidth="1"/>
    <col min="6351" max="6531" width="11" style="5"/>
    <col min="6532" max="6532" width="13.88671875" style="5" customWidth="1"/>
    <col min="6533" max="6533" width="6.33203125" style="5" customWidth="1"/>
    <col min="6534" max="6534" width="7.33203125" style="5" customWidth="1"/>
    <col min="6535" max="6535" width="7.6640625" style="5" customWidth="1"/>
    <col min="6536" max="6542" width="6.6640625" style="5" customWidth="1"/>
    <col min="6543" max="6543" width="7.33203125" style="5" customWidth="1"/>
    <col min="6544" max="6544" width="7.44140625" style="5" customWidth="1"/>
    <col min="6545" max="6545" width="9.33203125" style="5" customWidth="1"/>
    <col min="6546" max="6546" width="15.5546875" style="5" customWidth="1"/>
    <col min="6547" max="6547" width="11.109375" style="5" customWidth="1"/>
    <col min="6548" max="6550" width="0" style="5" hidden="1" customWidth="1"/>
    <col min="6551" max="6552" width="8.6640625" style="5" customWidth="1"/>
    <col min="6553" max="6553" width="5.33203125" style="5" customWidth="1"/>
    <col min="6554" max="6554" width="6.44140625" style="5" customWidth="1"/>
    <col min="6555" max="6555" width="16.6640625" style="5" customWidth="1"/>
    <col min="6556" max="6556" width="12" style="5" customWidth="1"/>
    <col min="6557" max="6557" width="9.109375" style="5" customWidth="1"/>
    <col min="6558" max="6558" width="9.44140625" style="5" customWidth="1"/>
    <col min="6559" max="6559" width="16.5546875" style="5" customWidth="1"/>
    <col min="6560" max="6560" width="6.5546875" style="5" customWidth="1"/>
    <col min="6561" max="6561" width="11.6640625" style="5" customWidth="1"/>
    <col min="6562" max="6562" width="8.88671875" style="5" customWidth="1"/>
    <col min="6563" max="6563" width="7.44140625" style="5" customWidth="1"/>
    <col min="6564" max="6564" width="4.88671875" style="5" customWidth="1"/>
    <col min="6565" max="6565" width="6.33203125" style="5" customWidth="1"/>
    <col min="6566" max="6566" width="2.5546875" style="5" customWidth="1"/>
    <col min="6567" max="6567" width="5.88671875" style="5" customWidth="1"/>
    <col min="6568" max="6568" width="1" style="5" customWidth="1"/>
    <col min="6569" max="6571" width="11.109375" style="5" customWidth="1"/>
    <col min="6572" max="6572" width="10.5546875" style="5" customWidth="1"/>
    <col min="6573" max="6573" width="10.88671875" style="5" customWidth="1"/>
    <col min="6574" max="6606" width="11" style="5" customWidth="1"/>
    <col min="6607" max="6787" width="11" style="5"/>
    <col min="6788" max="6788" width="13.88671875" style="5" customWidth="1"/>
    <col min="6789" max="6789" width="6.33203125" style="5" customWidth="1"/>
    <col min="6790" max="6790" width="7.33203125" style="5" customWidth="1"/>
    <col min="6791" max="6791" width="7.6640625" style="5" customWidth="1"/>
    <col min="6792" max="6798" width="6.6640625" style="5" customWidth="1"/>
    <col min="6799" max="6799" width="7.33203125" style="5" customWidth="1"/>
    <col min="6800" max="6800" width="7.44140625" style="5" customWidth="1"/>
    <col min="6801" max="6801" width="9.33203125" style="5" customWidth="1"/>
    <col min="6802" max="6802" width="15.5546875" style="5" customWidth="1"/>
    <col min="6803" max="6803" width="11.109375" style="5" customWidth="1"/>
    <col min="6804" max="6806" width="0" style="5" hidden="1" customWidth="1"/>
    <col min="6807" max="6808" width="8.6640625" style="5" customWidth="1"/>
    <col min="6809" max="6809" width="5.33203125" style="5" customWidth="1"/>
    <col min="6810" max="6810" width="6.44140625" style="5" customWidth="1"/>
    <col min="6811" max="6811" width="16.6640625" style="5" customWidth="1"/>
    <col min="6812" max="6812" width="12" style="5" customWidth="1"/>
    <col min="6813" max="6813" width="9.109375" style="5" customWidth="1"/>
    <col min="6814" max="6814" width="9.44140625" style="5" customWidth="1"/>
    <col min="6815" max="6815" width="16.5546875" style="5" customWidth="1"/>
    <col min="6816" max="6816" width="6.5546875" style="5" customWidth="1"/>
    <col min="6817" max="6817" width="11.6640625" style="5" customWidth="1"/>
    <col min="6818" max="6818" width="8.88671875" style="5" customWidth="1"/>
    <col min="6819" max="6819" width="7.44140625" style="5" customWidth="1"/>
    <col min="6820" max="6820" width="4.88671875" style="5" customWidth="1"/>
    <col min="6821" max="6821" width="6.33203125" style="5" customWidth="1"/>
    <col min="6822" max="6822" width="2.5546875" style="5" customWidth="1"/>
    <col min="6823" max="6823" width="5.88671875" style="5" customWidth="1"/>
    <col min="6824" max="6824" width="1" style="5" customWidth="1"/>
    <col min="6825" max="6827" width="11.109375" style="5" customWidth="1"/>
    <col min="6828" max="6828" width="10.5546875" style="5" customWidth="1"/>
    <col min="6829" max="6829" width="10.88671875" style="5" customWidth="1"/>
    <col min="6830" max="6862" width="11" style="5" customWidth="1"/>
    <col min="6863" max="7043" width="11" style="5"/>
    <col min="7044" max="7044" width="13.88671875" style="5" customWidth="1"/>
    <col min="7045" max="7045" width="6.33203125" style="5" customWidth="1"/>
    <col min="7046" max="7046" width="7.33203125" style="5" customWidth="1"/>
    <col min="7047" max="7047" width="7.6640625" style="5" customWidth="1"/>
    <col min="7048" max="7054" width="6.6640625" style="5" customWidth="1"/>
    <col min="7055" max="7055" width="7.33203125" style="5" customWidth="1"/>
    <col min="7056" max="7056" width="7.44140625" style="5" customWidth="1"/>
    <col min="7057" max="7057" width="9.33203125" style="5" customWidth="1"/>
    <col min="7058" max="7058" width="15.5546875" style="5" customWidth="1"/>
    <col min="7059" max="7059" width="11.109375" style="5" customWidth="1"/>
    <col min="7060" max="7062" width="0" style="5" hidden="1" customWidth="1"/>
    <col min="7063" max="7064" width="8.6640625" style="5" customWidth="1"/>
    <col min="7065" max="7065" width="5.33203125" style="5" customWidth="1"/>
    <col min="7066" max="7066" width="6.44140625" style="5" customWidth="1"/>
    <col min="7067" max="7067" width="16.6640625" style="5" customWidth="1"/>
    <col min="7068" max="7068" width="12" style="5" customWidth="1"/>
    <col min="7069" max="7069" width="9.109375" style="5" customWidth="1"/>
    <col min="7070" max="7070" width="9.44140625" style="5" customWidth="1"/>
    <col min="7071" max="7071" width="16.5546875" style="5" customWidth="1"/>
    <col min="7072" max="7072" width="6.5546875" style="5" customWidth="1"/>
    <col min="7073" max="7073" width="11.6640625" style="5" customWidth="1"/>
    <col min="7074" max="7074" width="8.88671875" style="5" customWidth="1"/>
    <col min="7075" max="7075" width="7.44140625" style="5" customWidth="1"/>
    <col min="7076" max="7076" width="4.88671875" style="5" customWidth="1"/>
    <col min="7077" max="7077" width="6.33203125" style="5" customWidth="1"/>
    <col min="7078" max="7078" width="2.5546875" style="5" customWidth="1"/>
    <col min="7079" max="7079" width="5.88671875" style="5" customWidth="1"/>
    <col min="7080" max="7080" width="1" style="5" customWidth="1"/>
    <col min="7081" max="7083" width="11.109375" style="5" customWidth="1"/>
    <col min="7084" max="7084" width="10.5546875" style="5" customWidth="1"/>
    <col min="7085" max="7085" width="10.88671875" style="5" customWidth="1"/>
    <col min="7086" max="7118" width="11" style="5" customWidth="1"/>
    <col min="7119" max="7299" width="11" style="5"/>
    <col min="7300" max="7300" width="13.88671875" style="5" customWidth="1"/>
    <col min="7301" max="7301" width="6.33203125" style="5" customWidth="1"/>
    <col min="7302" max="7302" width="7.33203125" style="5" customWidth="1"/>
    <col min="7303" max="7303" width="7.6640625" style="5" customWidth="1"/>
    <col min="7304" max="7310" width="6.6640625" style="5" customWidth="1"/>
    <col min="7311" max="7311" width="7.33203125" style="5" customWidth="1"/>
    <col min="7312" max="7312" width="7.44140625" style="5" customWidth="1"/>
    <col min="7313" max="7313" width="9.33203125" style="5" customWidth="1"/>
    <col min="7314" max="7314" width="15.5546875" style="5" customWidth="1"/>
    <col min="7315" max="7315" width="11.109375" style="5" customWidth="1"/>
    <col min="7316" max="7318" width="0" style="5" hidden="1" customWidth="1"/>
    <col min="7319" max="7320" width="8.6640625" style="5" customWidth="1"/>
    <col min="7321" max="7321" width="5.33203125" style="5" customWidth="1"/>
    <col min="7322" max="7322" width="6.44140625" style="5" customWidth="1"/>
    <col min="7323" max="7323" width="16.6640625" style="5" customWidth="1"/>
    <col min="7324" max="7324" width="12" style="5" customWidth="1"/>
    <col min="7325" max="7325" width="9.109375" style="5" customWidth="1"/>
    <col min="7326" max="7326" width="9.44140625" style="5" customWidth="1"/>
    <col min="7327" max="7327" width="16.5546875" style="5" customWidth="1"/>
    <col min="7328" max="7328" width="6.5546875" style="5" customWidth="1"/>
    <col min="7329" max="7329" width="11.6640625" style="5" customWidth="1"/>
    <col min="7330" max="7330" width="8.88671875" style="5" customWidth="1"/>
    <col min="7331" max="7331" width="7.44140625" style="5" customWidth="1"/>
    <col min="7332" max="7332" width="4.88671875" style="5" customWidth="1"/>
    <col min="7333" max="7333" width="6.33203125" style="5" customWidth="1"/>
    <col min="7334" max="7334" width="2.5546875" style="5" customWidth="1"/>
    <col min="7335" max="7335" width="5.88671875" style="5" customWidth="1"/>
    <col min="7336" max="7336" width="1" style="5" customWidth="1"/>
    <col min="7337" max="7339" width="11.109375" style="5" customWidth="1"/>
    <col min="7340" max="7340" width="10.5546875" style="5" customWidth="1"/>
    <col min="7341" max="7341" width="10.88671875" style="5" customWidth="1"/>
    <col min="7342" max="7374" width="11" style="5" customWidth="1"/>
    <col min="7375" max="7555" width="11" style="5"/>
    <col min="7556" max="7556" width="13.88671875" style="5" customWidth="1"/>
    <col min="7557" max="7557" width="6.33203125" style="5" customWidth="1"/>
    <col min="7558" max="7558" width="7.33203125" style="5" customWidth="1"/>
    <col min="7559" max="7559" width="7.6640625" style="5" customWidth="1"/>
    <col min="7560" max="7566" width="6.6640625" style="5" customWidth="1"/>
    <col min="7567" max="7567" width="7.33203125" style="5" customWidth="1"/>
    <col min="7568" max="7568" width="7.44140625" style="5" customWidth="1"/>
    <col min="7569" max="7569" width="9.33203125" style="5" customWidth="1"/>
    <col min="7570" max="7570" width="15.5546875" style="5" customWidth="1"/>
    <col min="7571" max="7571" width="11.109375" style="5" customWidth="1"/>
    <col min="7572" max="7574" width="0" style="5" hidden="1" customWidth="1"/>
    <col min="7575" max="7576" width="8.6640625" style="5" customWidth="1"/>
    <col min="7577" max="7577" width="5.33203125" style="5" customWidth="1"/>
    <col min="7578" max="7578" width="6.44140625" style="5" customWidth="1"/>
    <col min="7579" max="7579" width="16.6640625" style="5" customWidth="1"/>
    <col min="7580" max="7580" width="12" style="5" customWidth="1"/>
    <col min="7581" max="7581" width="9.109375" style="5" customWidth="1"/>
    <col min="7582" max="7582" width="9.44140625" style="5" customWidth="1"/>
    <col min="7583" max="7583" width="16.5546875" style="5" customWidth="1"/>
    <col min="7584" max="7584" width="6.5546875" style="5" customWidth="1"/>
    <col min="7585" max="7585" width="11.6640625" style="5" customWidth="1"/>
    <col min="7586" max="7586" width="8.88671875" style="5" customWidth="1"/>
    <col min="7587" max="7587" width="7.44140625" style="5" customWidth="1"/>
    <col min="7588" max="7588" width="4.88671875" style="5" customWidth="1"/>
    <col min="7589" max="7589" width="6.33203125" style="5" customWidth="1"/>
    <col min="7590" max="7590" width="2.5546875" style="5" customWidth="1"/>
    <col min="7591" max="7591" width="5.88671875" style="5" customWidth="1"/>
    <col min="7592" max="7592" width="1" style="5" customWidth="1"/>
    <col min="7593" max="7595" width="11.109375" style="5" customWidth="1"/>
    <col min="7596" max="7596" width="10.5546875" style="5" customWidth="1"/>
    <col min="7597" max="7597" width="10.88671875" style="5" customWidth="1"/>
    <col min="7598" max="7630" width="11" style="5" customWidth="1"/>
    <col min="7631" max="7811" width="11" style="5"/>
    <col min="7812" max="7812" width="13.88671875" style="5" customWidth="1"/>
    <col min="7813" max="7813" width="6.33203125" style="5" customWidth="1"/>
    <col min="7814" max="7814" width="7.33203125" style="5" customWidth="1"/>
    <col min="7815" max="7815" width="7.6640625" style="5" customWidth="1"/>
    <col min="7816" max="7822" width="6.6640625" style="5" customWidth="1"/>
    <col min="7823" max="7823" width="7.33203125" style="5" customWidth="1"/>
    <col min="7824" max="7824" width="7.44140625" style="5" customWidth="1"/>
    <col min="7825" max="7825" width="9.33203125" style="5" customWidth="1"/>
    <col min="7826" max="7826" width="15.5546875" style="5" customWidth="1"/>
    <col min="7827" max="7827" width="11.109375" style="5" customWidth="1"/>
    <col min="7828" max="7830" width="0" style="5" hidden="1" customWidth="1"/>
    <col min="7831" max="7832" width="8.6640625" style="5" customWidth="1"/>
    <col min="7833" max="7833" width="5.33203125" style="5" customWidth="1"/>
    <col min="7834" max="7834" width="6.44140625" style="5" customWidth="1"/>
    <col min="7835" max="7835" width="16.6640625" style="5" customWidth="1"/>
    <col min="7836" max="7836" width="12" style="5" customWidth="1"/>
    <col min="7837" max="7837" width="9.109375" style="5" customWidth="1"/>
    <col min="7838" max="7838" width="9.44140625" style="5" customWidth="1"/>
    <col min="7839" max="7839" width="16.5546875" style="5" customWidth="1"/>
    <col min="7840" max="7840" width="6.5546875" style="5" customWidth="1"/>
    <col min="7841" max="7841" width="11.6640625" style="5" customWidth="1"/>
    <col min="7842" max="7842" width="8.88671875" style="5" customWidth="1"/>
    <col min="7843" max="7843" width="7.44140625" style="5" customWidth="1"/>
    <col min="7844" max="7844" width="4.88671875" style="5" customWidth="1"/>
    <col min="7845" max="7845" width="6.33203125" style="5" customWidth="1"/>
    <col min="7846" max="7846" width="2.5546875" style="5" customWidth="1"/>
    <col min="7847" max="7847" width="5.88671875" style="5" customWidth="1"/>
    <col min="7848" max="7848" width="1" style="5" customWidth="1"/>
    <col min="7849" max="7851" width="11.109375" style="5" customWidth="1"/>
    <col min="7852" max="7852" width="10.5546875" style="5" customWidth="1"/>
    <col min="7853" max="7853" width="10.88671875" style="5" customWidth="1"/>
    <col min="7854" max="7886" width="11" style="5" customWidth="1"/>
    <col min="7887" max="8067" width="11" style="5"/>
    <col min="8068" max="8068" width="13.88671875" style="5" customWidth="1"/>
    <col min="8069" max="8069" width="6.33203125" style="5" customWidth="1"/>
    <col min="8070" max="8070" width="7.33203125" style="5" customWidth="1"/>
    <col min="8071" max="8071" width="7.6640625" style="5" customWidth="1"/>
    <col min="8072" max="8078" width="6.6640625" style="5" customWidth="1"/>
    <col min="8079" max="8079" width="7.33203125" style="5" customWidth="1"/>
    <col min="8080" max="8080" width="7.44140625" style="5" customWidth="1"/>
    <col min="8081" max="8081" width="9.33203125" style="5" customWidth="1"/>
    <col min="8082" max="8082" width="15.5546875" style="5" customWidth="1"/>
    <col min="8083" max="8083" width="11.109375" style="5" customWidth="1"/>
    <col min="8084" max="8086" width="0" style="5" hidden="1" customWidth="1"/>
    <col min="8087" max="8088" width="8.6640625" style="5" customWidth="1"/>
    <col min="8089" max="8089" width="5.33203125" style="5" customWidth="1"/>
    <col min="8090" max="8090" width="6.44140625" style="5" customWidth="1"/>
    <col min="8091" max="8091" width="16.6640625" style="5" customWidth="1"/>
    <col min="8092" max="8092" width="12" style="5" customWidth="1"/>
    <col min="8093" max="8093" width="9.109375" style="5" customWidth="1"/>
    <col min="8094" max="8094" width="9.44140625" style="5" customWidth="1"/>
    <col min="8095" max="8095" width="16.5546875" style="5" customWidth="1"/>
    <col min="8096" max="8096" width="6.5546875" style="5" customWidth="1"/>
    <col min="8097" max="8097" width="11.6640625" style="5" customWidth="1"/>
    <col min="8098" max="8098" width="8.88671875" style="5" customWidth="1"/>
    <col min="8099" max="8099" width="7.44140625" style="5" customWidth="1"/>
    <col min="8100" max="8100" width="4.88671875" style="5" customWidth="1"/>
    <col min="8101" max="8101" width="6.33203125" style="5" customWidth="1"/>
    <col min="8102" max="8102" width="2.5546875" style="5" customWidth="1"/>
    <col min="8103" max="8103" width="5.88671875" style="5" customWidth="1"/>
    <col min="8104" max="8104" width="1" style="5" customWidth="1"/>
    <col min="8105" max="8107" width="11.109375" style="5" customWidth="1"/>
    <col min="8108" max="8108" width="10.5546875" style="5" customWidth="1"/>
    <col min="8109" max="8109" width="10.88671875" style="5" customWidth="1"/>
    <col min="8110" max="8142" width="11" style="5" customWidth="1"/>
    <col min="8143" max="8323" width="11" style="5"/>
    <col min="8324" max="8324" width="13.88671875" style="5" customWidth="1"/>
    <col min="8325" max="8325" width="6.33203125" style="5" customWidth="1"/>
    <col min="8326" max="8326" width="7.33203125" style="5" customWidth="1"/>
    <col min="8327" max="8327" width="7.6640625" style="5" customWidth="1"/>
    <col min="8328" max="8334" width="6.6640625" style="5" customWidth="1"/>
    <col min="8335" max="8335" width="7.33203125" style="5" customWidth="1"/>
    <col min="8336" max="8336" width="7.44140625" style="5" customWidth="1"/>
    <col min="8337" max="8337" width="9.33203125" style="5" customWidth="1"/>
    <col min="8338" max="8338" width="15.5546875" style="5" customWidth="1"/>
    <col min="8339" max="8339" width="11.109375" style="5" customWidth="1"/>
    <col min="8340" max="8342" width="0" style="5" hidden="1" customWidth="1"/>
    <col min="8343" max="8344" width="8.6640625" style="5" customWidth="1"/>
    <col min="8345" max="8345" width="5.33203125" style="5" customWidth="1"/>
    <col min="8346" max="8346" width="6.44140625" style="5" customWidth="1"/>
    <col min="8347" max="8347" width="16.6640625" style="5" customWidth="1"/>
    <col min="8348" max="8348" width="12" style="5" customWidth="1"/>
    <col min="8349" max="8349" width="9.109375" style="5" customWidth="1"/>
    <col min="8350" max="8350" width="9.44140625" style="5" customWidth="1"/>
    <col min="8351" max="8351" width="16.5546875" style="5" customWidth="1"/>
    <col min="8352" max="8352" width="6.5546875" style="5" customWidth="1"/>
    <col min="8353" max="8353" width="11.6640625" style="5" customWidth="1"/>
    <col min="8354" max="8354" width="8.88671875" style="5" customWidth="1"/>
    <col min="8355" max="8355" width="7.44140625" style="5" customWidth="1"/>
    <col min="8356" max="8356" width="4.88671875" style="5" customWidth="1"/>
    <col min="8357" max="8357" width="6.33203125" style="5" customWidth="1"/>
    <col min="8358" max="8358" width="2.5546875" style="5" customWidth="1"/>
    <col min="8359" max="8359" width="5.88671875" style="5" customWidth="1"/>
    <col min="8360" max="8360" width="1" style="5" customWidth="1"/>
    <col min="8361" max="8363" width="11.109375" style="5" customWidth="1"/>
    <col min="8364" max="8364" width="10.5546875" style="5" customWidth="1"/>
    <col min="8365" max="8365" width="10.88671875" style="5" customWidth="1"/>
    <col min="8366" max="8398" width="11" style="5" customWidth="1"/>
    <col min="8399" max="8579" width="11" style="5"/>
    <col min="8580" max="8580" width="13.88671875" style="5" customWidth="1"/>
    <col min="8581" max="8581" width="6.33203125" style="5" customWidth="1"/>
    <col min="8582" max="8582" width="7.33203125" style="5" customWidth="1"/>
    <col min="8583" max="8583" width="7.6640625" style="5" customWidth="1"/>
    <col min="8584" max="8590" width="6.6640625" style="5" customWidth="1"/>
    <col min="8591" max="8591" width="7.33203125" style="5" customWidth="1"/>
    <col min="8592" max="8592" width="7.44140625" style="5" customWidth="1"/>
    <col min="8593" max="8593" width="9.33203125" style="5" customWidth="1"/>
    <col min="8594" max="8594" width="15.5546875" style="5" customWidth="1"/>
    <col min="8595" max="8595" width="11.109375" style="5" customWidth="1"/>
    <col min="8596" max="8598" width="0" style="5" hidden="1" customWidth="1"/>
    <col min="8599" max="8600" width="8.6640625" style="5" customWidth="1"/>
    <col min="8601" max="8601" width="5.33203125" style="5" customWidth="1"/>
    <col min="8602" max="8602" width="6.44140625" style="5" customWidth="1"/>
    <col min="8603" max="8603" width="16.6640625" style="5" customWidth="1"/>
    <col min="8604" max="8604" width="12" style="5" customWidth="1"/>
    <col min="8605" max="8605" width="9.109375" style="5" customWidth="1"/>
    <col min="8606" max="8606" width="9.44140625" style="5" customWidth="1"/>
    <col min="8607" max="8607" width="16.5546875" style="5" customWidth="1"/>
    <col min="8608" max="8608" width="6.5546875" style="5" customWidth="1"/>
    <col min="8609" max="8609" width="11.6640625" style="5" customWidth="1"/>
    <col min="8610" max="8610" width="8.88671875" style="5" customWidth="1"/>
    <col min="8611" max="8611" width="7.44140625" style="5" customWidth="1"/>
    <col min="8612" max="8612" width="4.88671875" style="5" customWidth="1"/>
    <col min="8613" max="8613" width="6.33203125" style="5" customWidth="1"/>
    <col min="8614" max="8614" width="2.5546875" style="5" customWidth="1"/>
    <col min="8615" max="8615" width="5.88671875" style="5" customWidth="1"/>
    <col min="8616" max="8616" width="1" style="5" customWidth="1"/>
    <col min="8617" max="8619" width="11.109375" style="5" customWidth="1"/>
    <col min="8620" max="8620" width="10.5546875" style="5" customWidth="1"/>
    <col min="8621" max="8621" width="10.88671875" style="5" customWidth="1"/>
    <col min="8622" max="8654" width="11" style="5" customWidth="1"/>
    <col min="8655" max="8835" width="11" style="5"/>
    <col min="8836" max="8836" width="13.88671875" style="5" customWidth="1"/>
    <col min="8837" max="8837" width="6.33203125" style="5" customWidth="1"/>
    <col min="8838" max="8838" width="7.33203125" style="5" customWidth="1"/>
    <col min="8839" max="8839" width="7.6640625" style="5" customWidth="1"/>
    <col min="8840" max="8846" width="6.6640625" style="5" customWidth="1"/>
    <col min="8847" max="8847" width="7.33203125" style="5" customWidth="1"/>
    <col min="8848" max="8848" width="7.44140625" style="5" customWidth="1"/>
    <col min="8849" max="8849" width="9.33203125" style="5" customWidth="1"/>
    <col min="8850" max="8850" width="15.5546875" style="5" customWidth="1"/>
    <col min="8851" max="8851" width="11.109375" style="5" customWidth="1"/>
    <col min="8852" max="8854" width="0" style="5" hidden="1" customWidth="1"/>
    <col min="8855" max="8856" width="8.6640625" style="5" customWidth="1"/>
    <col min="8857" max="8857" width="5.33203125" style="5" customWidth="1"/>
    <col min="8858" max="8858" width="6.44140625" style="5" customWidth="1"/>
    <col min="8859" max="8859" width="16.6640625" style="5" customWidth="1"/>
    <col min="8860" max="8860" width="12" style="5" customWidth="1"/>
    <col min="8861" max="8861" width="9.109375" style="5" customWidth="1"/>
    <col min="8862" max="8862" width="9.44140625" style="5" customWidth="1"/>
    <col min="8863" max="8863" width="16.5546875" style="5" customWidth="1"/>
    <col min="8864" max="8864" width="6.5546875" style="5" customWidth="1"/>
    <col min="8865" max="8865" width="11.6640625" style="5" customWidth="1"/>
    <col min="8866" max="8866" width="8.88671875" style="5" customWidth="1"/>
    <col min="8867" max="8867" width="7.44140625" style="5" customWidth="1"/>
    <col min="8868" max="8868" width="4.88671875" style="5" customWidth="1"/>
    <col min="8869" max="8869" width="6.33203125" style="5" customWidth="1"/>
    <col min="8870" max="8870" width="2.5546875" style="5" customWidth="1"/>
    <col min="8871" max="8871" width="5.88671875" style="5" customWidth="1"/>
    <col min="8872" max="8872" width="1" style="5" customWidth="1"/>
    <col min="8873" max="8875" width="11.109375" style="5" customWidth="1"/>
    <col min="8876" max="8876" width="10.5546875" style="5" customWidth="1"/>
    <col min="8877" max="8877" width="10.88671875" style="5" customWidth="1"/>
    <col min="8878" max="8910" width="11" style="5" customWidth="1"/>
    <col min="8911" max="9091" width="11" style="5"/>
    <col min="9092" max="9092" width="13.88671875" style="5" customWidth="1"/>
    <col min="9093" max="9093" width="6.33203125" style="5" customWidth="1"/>
    <col min="9094" max="9094" width="7.33203125" style="5" customWidth="1"/>
    <col min="9095" max="9095" width="7.6640625" style="5" customWidth="1"/>
    <col min="9096" max="9102" width="6.6640625" style="5" customWidth="1"/>
    <col min="9103" max="9103" width="7.33203125" style="5" customWidth="1"/>
    <col min="9104" max="9104" width="7.44140625" style="5" customWidth="1"/>
    <col min="9105" max="9105" width="9.33203125" style="5" customWidth="1"/>
    <col min="9106" max="9106" width="15.5546875" style="5" customWidth="1"/>
    <col min="9107" max="9107" width="11.109375" style="5" customWidth="1"/>
    <col min="9108" max="9110" width="0" style="5" hidden="1" customWidth="1"/>
    <col min="9111" max="9112" width="8.6640625" style="5" customWidth="1"/>
    <col min="9113" max="9113" width="5.33203125" style="5" customWidth="1"/>
    <col min="9114" max="9114" width="6.44140625" style="5" customWidth="1"/>
    <col min="9115" max="9115" width="16.6640625" style="5" customWidth="1"/>
    <col min="9116" max="9116" width="12" style="5" customWidth="1"/>
    <col min="9117" max="9117" width="9.109375" style="5" customWidth="1"/>
    <col min="9118" max="9118" width="9.44140625" style="5" customWidth="1"/>
    <col min="9119" max="9119" width="16.5546875" style="5" customWidth="1"/>
    <col min="9120" max="9120" width="6.5546875" style="5" customWidth="1"/>
    <col min="9121" max="9121" width="11.6640625" style="5" customWidth="1"/>
    <col min="9122" max="9122" width="8.88671875" style="5" customWidth="1"/>
    <col min="9123" max="9123" width="7.44140625" style="5" customWidth="1"/>
    <col min="9124" max="9124" width="4.88671875" style="5" customWidth="1"/>
    <col min="9125" max="9125" width="6.33203125" style="5" customWidth="1"/>
    <col min="9126" max="9126" width="2.5546875" style="5" customWidth="1"/>
    <col min="9127" max="9127" width="5.88671875" style="5" customWidth="1"/>
    <col min="9128" max="9128" width="1" style="5" customWidth="1"/>
    <col min="9129" max="9131" width="11.109375" style="5" customWidth="1"/>
    <col min="9132" max="9132" width="10.5546875" style="5" customWidth="1"/>
    <col min="9133" max="9133" width="10.88671875" style="5" customWidth="1"/>
    <col min="9134" max="9166" width="11" style="5" customWidth="1"/>
    <col min="9167" max="9347" width="11" style="5"/>
    <col min="9348" max="9348" width="13.88671875" style="5" customWidth="1"/>
    <col min="9349" max="9349" width="6.33203125" style="5" customWidth="1"/>
    <col min="9350" max="9350" width="7.33203125" style="5" customWidth="1"/>
    <col min="9351" max="9351" width="7.6640625" style="5" customWidth="1"/>
    <col min="9352" max="9358" width="6.6640625" style="5" customWidth="1"/>
    <col min="9359" max="9359" width="7.33203125" style="5" customWidth="1"/>
    <col min="9360" max="9360" width="7.44140625" style="5" customWidth="1"/>
    <col min="9361" max="9361" width="9.33203125" style="5" customWidth="1"/>
    <col min="9362" max="9362" width="15.5546875" style="5" customWidth="1"/>
    <col min="9363" max="9363" width="11.109375" style="5" customWidth="1"/>
    <col min="9364" max="9366" width="0" style="5" hidden="1" customWidth="1"/>
    <col min="9367" max="9368" width="8.6640625" style="5" customWidth="1"/>
    <col min="9369" max="9369" width="5.33203125" style="5" customWidth="1"/>
    <col min="9370" max="9370" width="6.44140625" style="5" customWidth="1"/>
    <col min="9371" max="9371" width="16.6640625" style="5" customWidth="1"/>
    <col min="9372" max="9372" width="12" style="5" customWidth="1"/>
    <col min="9373" max="9373" width="9.109375" style="5" customWidth="1"/>
    <col min="9374" max="9374" width="9.44140625" style="5" customWidth="1"/>
    <col min="9375" max="9375" width="16.5546875" style="5" customWidth="1"/>
    <col min="9376" max="9376" width="6.5546875" style="5" customWidth="1"/>
    <col min="9377" max="9377" width="11.6640625" style="5" customWidth="1"/>
    <col min="9378" max="9378" width="8.88671875" style="5" customWidth="1"/>
    <col min="9379" max="9379" width="7.44140625" style="5" customWidth="1"/>
    <col min="9380" max="9380" width="4.88671875" style="5" customWidth="1"/>
    <col min="9381" max="9381" width="6.33203125" style="5" customWidth="1"/>
    <col min="9382" max="9382" width="2.5546875" style="5" customWidth="1"/>
    <col min="9383" max="9383" width="5.88671875" style="5" customWidth="1"/>
    <col min="9384" max="9384" width="1" style="5" customWidth="1"/>
    <col min="9385" max="9387" width="11.109375" style="5" customWidth="1"/>
    <col min="9388" max="9388" width="10.5546875" style="5" customWidth="1"/>
    <col min="9389" max="9389" width="10.88671875" style="5" customWidth="1"/>
    <col min="9390" max="9422" width="11" style="5" customWidth="1"/>
    <col min="9423" max="9603" width="11" style="5"/>
    <col min="9604" max="9604" width="13.88671875" style="5" customWidth="1"/>
    <col min="9605" max="9605" width="6.33203125" style="5" customWidth="1"/>
    <col min="9606" max="9606" width="7.33203125" style="5" customWidth="1"/>
    <col min="9607" max="9607" width="7.6640625" style="5" customWidth="1"/>
    <col min="9608" max="9614" width="6.6640625" style="5" customWidth="1"/>
    <col min="9615" max="9615" width="7.33203125" style="5" customWidth="1"/>
    <col min="9616" max="9616" width="7.44140625" style="5" customWidth="1"/>
    <col min="9617" max="9617" width="9.33203125" style="5" customWidth="1"/>
    <col min="9618" max="9618" width="15.5546875" style="5" customWidth="1"/>
    <col min="9619" max="9619" width="11.109375" style="5" customWidth="1"/>
    <col min="9620" max="9622" width="0" style="5" hidden="1" customWidth="1"/>
    <col min="9623" max="9624" width="8.6640625" style="5" customWidth="1"/>
    <col min="9625" max="9625" width="5.33203125" style="5" customWidth="1"/>
    <col min="9626" max="9626" width="6.44140625" style="5" customWidth="1"/>
    <col min="9627" max="9627" width="16.6640625" style="5" customWidth="1"/>
    <col min="9628" max="9628" width="12" style="5" customWidth="1"/>
    <col min="9629" max="9629" width="9.109375" style="5" customWidth="1"/>
    <col min="9630" max="9630" width="9.44140625" style="5" customWidth="1"/>
    <col min="9631" max="9631" width="16.5546875" style="5" customWidth="1"/>
    <col min="9632" max="9632" width="6.5546875" style="5" customWidth="1"/>
    <col min="9633" max="9633" width="11.6640625" style="5" customWidth="1"/>
    <col min="9634" max="9634" width="8.88671875" style="5" customWidth="1"/>
    <col min="9635" max="9635" width="7.44140625" style="5" customWidth="1"/>
    <col min="9636" max="9636" width="4.88671875" style="5" customWidth="1"/>
    <col min="9637" max="9637" width="6.33203125" style="5" customWidth="1"/>
    <col min="9638" max="9638" width="2.5546875" style="5" customWidth="1"/>
    <col min="9639" max="9639" width="5.88671875" style="5" customWidth="1"/>
    <col min="9640" max="9640" width="1" style="5" customWidth="1"/>
    <col min="9641" max="9643" width="11.109375" style="5" customWidth="1"/>
    <col min="9644" max="9644" width="10.5546875" style="5" customWidth="1"/>
    <col min="9645" max="9645" width="10.88671875" style="5" customWidth="1"/>
    <col min="9646" max="9678" width="11" style="5" customWidth="1"/>
    <col min="9679" max="9859" width="11" style="5"/>
    <col min="9860" max="9860" width="13.88671875" style="5" customWidth="1"/>
    <col min="9861" max="9861" width="6.33203125" style="5" customWidth="1"/>
    <col min="9862" max="9862" width="7.33203125" style="5" customWidth="1"/>
    <col min="9863" max="9863" width="7.6640625" style="5" customWidth="1"/>
    <col min="9864" max="9870" width="6.6640625" style="5" customWidth="1"/>
    <col min="9871" max="9871" width="7.33203125" style="5" customWidth="1"/>
    <col min="9872" max="9872" width="7.44140625" style="5" customWidth="1"/>
    <col min="9873" max="9873" width="9.33203125" style="5" customWidth="1"/>
    <col min="9874" max="9874" width="15.5546875" style="5" customWidth="1"/>
    <col min="9875" max="9875" width="11.109375" style="5" customWidth="1"/>
    <col min="9876" max="9878" width="0" style="5" hidden="1" customWidth="1"/>
    <col min="9879" max="9880" width="8.6640625" style="5" customWidth="1"/>
    <col min="9881" max="9881" width="5.33203125" style="5" customWidth="1"/>
    <col min="9882" max="9882" width="6.44140625" style="5" customWidth="1"/>
    <col min="9883" max="9883" width="16.6640625" style="5" customWidth="1"/>
    <col min="9884" max="9884" width="12" style="5" customWidth="1"/>
    <col min="9885" max="9885" width="9.109375" style="5" customWidth="1"/>
    <col min="9886" max="9886" width="9.44140625" style="5" customWidth="1"/>
    <col min="9887" max="9887" width="16.5546875" style="5" customWidth="1"/>
    <col min="9888" max="9888" width="6.5546875" style="5" customWidth="1"/>
    <col min="9889" max="9889" width="11.6640625" style="5" customWidth="1"/>
    <col min="9890" max="9890" width="8.88671875" style="5" customWidth="1"/>
    <col min="9891" max="9891" width="7.44140625" style="5" customWidth="1"/>
    <col min="9892" max="9892" width="4.88671875" style="5" customWidth="1"/>
    <col min="9893" max="9893" width="6.33203125" style="5" customWidth="1"/>
    <col min="9894" max="9894" width="2.5546875" style="5" customWidth="1"/>
    <col min="9895" max="9895" width="5.88671875" style="5" customWidth="1"/>
    <col min="9896" max="9896" width="1" style="5" customWidth="1"/>
    <col min="9897" max="9899" width="11.109375" style="5" customWidth="1"/>
    <col min="9900" max="9900" width="10.5546875" style="5" customWidth="1"/>
    <col min="9901" max="9901" width="10.88671875" style="5" customWidth="1"/>
    <col min="9902" max="9934" width="11" style="5" customWidth="1"/>
    <col min="9935" max="10115" width="11" style="5"/>
    <col min="10116" max="10116" width="13.88671875" style="5" customWidth="1"/>
    <col min="10117" max="10117" width="6.33203125" style="5" customWidth="1"/>
    <col min="10118" max="10118" width="7.33203125" style="5" customWidth="1"/>
    <col min="10119" max="10119" width="7.6640625" style="5" customWidth="1"/>
    <col min="10120" max="10126" width="6.6640625" style="5" customWidth="1"/>
    <col min="10127" max="10127" width="7.33203125" style="5" customWidth="1"/>
    <col min="10128" max="10128" width="7.44140625" style="5" customWidth="1"/>
    <col min="10129" max="10129" width="9.33203125" style="5" customWidth="1"/>
    <col min="10130" max="10130" width="15.5546875" style="5" customWidth="1"/>
    <col min="10131" max="10131" width="11.109375" style="5" customWidth="1"/>
    <col min="10132" max="10134" width="0" style="5" hidden="1" customWidth="1"/>
    <col min="10135" max="10136" width="8.6640625" style="5" customWidth="1"/>
    <col min="10137" max="10137" width="5.33203125" style="5" customWidth="1"/>
    <col min="10138" max="10138" width="6.44140625" style="5" customWidth="1"/>
    <col min="10139" max="10139" width="16.6640625" style="5" customWidth="1"/>
    <col min="10140" max="10140" width="12" style="5" customWidth="1"/>
    <col min="10141" max="10141" width="9.109375" style="5" customWidth="1"/>
    <col min="10142" max="10142" width="9.44140625" style="5" customWidth="1"/>
    <col min="10143" max="10143" width="16.5546875" style="5" customWidth="1"/>
    <col min="10144" max="10144" width="6.5546875" style="5" customWidth="1"/>
    <col min="10145" max="10145" width="11.6640625" style="5" customWidth="1"/>
    <col min="10146" max="10146" width="8.88671875" style="5" customWidth="1"/>
    <col min="10147" max="10147" width="7.44140625" style="5" customWidth="1"/>
    <col min="10148" max="10148" width="4.88671875" style="5" customWidth="1"/>
    <col min="10149" max="10149" width="6.33203125" style="5" customWidth="1"/>
    <col min="10150" max="10150" width="2.5546875" style="5" customWidth="1"/>
    <col min="10151" max="10151" width="5.88671875" style="5" customWidth="1"/>
    <col min="10152" max="10152" width="1" style="5" customWidth="1"/>
    <col min="10153" max="10155" width="11.109375" style="5" customWidth="1"/>
    <col min="10156" max="10156" width="10.5546875" style="5" customWidth="1"/>
    <col min="10157" max="10157" width="10.88671875" style="5" customWidth="1"/>
    <col min="10158" max="10190" width="11" style="5" customWidth="1"/>
    <col min="10191" max="10371" width="11" style="5"/>
    <col min="10372" max="10372" width="13.88671875" style="5" customWidth="1"/>
    <col min="10373" max="10373" width="6.33203125" style="5" customWidth="1"/>
    <col min="10374" max="10374" width="7.33203125" style="5" customWidth="1"/>
    <col min="10375" max="10375" width="7.6640625" style="5" customWidth="1"/>
    <col min="10376" max="10382" width="6.6640625" style="5" customWidth="1"/>
    <col min="10383" max="10383" width="7.33203125" style="5" customWidth="1"/>
    <col min="10384" max="10384" width="7.44140625" style="5" customWidth="1"/>
    <col min="10385" max="10385" width="9.33203125" style="5" customWidth="1"/>
    <col min="10386" max="10386" width="15.5546875" style="5" customWidth="1"/>
    <col min="10387" max="10387" width="11.109375" style="5" customWidth="1"/>
    <col min="10388" max="10390" width="0" style="5" hidden="1" customWidth="1"/>
    <col min="10391" max="10392" width="8.6640625" style="5" customWidth="1"/>
    <col min="10393" max="10393" width="5.33203125" style="5" customWidth="1"/>
    <col min="10394" max="10394" width="6.44140625" style="5" customWidth="1"/>
    <col min="10395" max="10395" width="16.6640625" style="5" customWidth="1"/>
    <col min="10396" max="10396" width="12" style="5" customWidth="1"/>
    <col min="10397" max="10397" width="9.109375" style="5" customWidth="1"/>
    <col min="10398" max="10398" width="9.44140625" style="5" customWidth="1"/>
    <col min="10399" max="10399" width="16.5546875" style="5" customWidth="1"/>
    <col min="10400" max="10400" width="6.5546875" style="5" customWidth="1"/>
    <col min="10401" max="10401" width="11.6640625" style="5" customWidth="1"/>
    <col min="10402" max="10402" width="8.88671875" style="5" customWidth="1"/>
    <col min="10403" max="10403" width="7.44140625" style="5" customWidth="1"/>
    <col min="10404" max="10404" width="4.88671875" style="5" customWidth="1"/>
    <col min="10405" max="10405" width="6.33203125" style="5" customWidth="1"/>
    <col min="10406" max="10406" width="2.5546875" style="5" customWidth="1"/>
    <col min="10407" max="10407" width="5.88671875" style="5" customWidth="1"/>
    <col min="10408" max="10408" width="1" style="5" customWidth="1"/>
    <col min="10409" max="10411" width="11.109375" style="5" customWidth="1"/>
    <col min="10412" max="10412" width="10.5546875" style="5" customWidth="1"/>
    <col min="10413" max="10413" width="10.88671875" style="5" customWidth="1"/>
    <col min="10414" max="10446" width="11" style="5" customWidth="1"/>
    <col min="10447" max="10627" width="11" style="5"/>
    <col min="10628" max="10628" width="13.88671875" style="5" customWidth="1"/>
    <col min="10629" max="10629" width="6.33203125" style="5" customWidth="1"/>
    <col min="10630" max="10630" width="7.33203125" style="5" customWidth="1"/>
    <col min="10631" max="10631" width="7.6640625" style="5" customWidth="1"/>
    <col min="10632" max="10638" width="6.6640625" style="5" customWidth="1"/>
    <col min="10639" max="10639" width="7.33203125" style="5" customWidth="1"/>
    <col min="10640" max="10640" width="7.44140625" style="5" customWidth="1"/>
    <col min="10641" max="10641" width="9.33203125" style="5" customWidth="1"/>
    <col min="10642" max="10642" width="15.5546875" style="5" customWidth="1"/>
    <col min="10643" max="10643" width="11.109375" style="5" customWidth="1"/>
    <col min="10644" max="10646" width="0" style="5" hidden="1" customWidth="1"/>
    <col min="10647" max="10648" width="8.6640625" style="5" customWidth="1"/>
    <col min="10649" max="10649" width="5.33203125" style="5" customWidth="1"/>
    <col min="10650" max="10650" width="6.44140625" style="5" customWidth="1"/>
    <col min="10651" max="10651" width="16.6640625" style="5" customWidth="1"/>
    <col min="10652" max="10652" width="12" style="5" customWidth="1"/>
    <col min="10653" max="10653" width="9.109375" style="5" customWidth="1"/>
    <col min="10654" max="10654" width="9.44140625" style="5" customWidth="1"/>
    <col min="10655" max="10655" width="16.5546875" style="5" customWidth="1"/>
    <col min="10656" max="10656" width="6.5546875" style="5" customWidth="1"/>
    <col min="10657" max="10657" width="11.6640625" style="5" customWidth="1"/>
    <col min="10658" max="10658" width="8.88671875" style="5" customWidth="1"/>
    <col min="10659" max="10659" width="7.44140625" style="5" customWidth="1"/>
    <col min="10660" max="10660" width="4.88671875" style="5" customWidth="1"/>
    <col min="10661" max="10661" width="6.33203125" style="5" customWidth="1"/>
    <col min="10662" max="10662" width="2.5546875" style="5" customWidth="1"/>
    <col min="10663" max="10663" width="5.88671875" style="5" customWidth="1"/>
    <col min="10664" max="10664" width="1" style="5" customWidth="1"/>
    <col min="10665" max="10667" width="11.109375" style="5" customWidth="1"/>
    <col min="10668" max="10668" width="10.5546875" style="5" customWidth="1"/>
    <col min="10669" max="10669" width="10.88671875" style="5" customWidth="1"/>
    <col min="10670" max="10702" width="11" style="5" customWidth="1"/>
    <col min="10703" max="10883" width="11" style="5"/>
    <col min="10884" max="10884" width="13.88671875" style="5" customWidth="1"/>
    <col min="10885" max="10885" width="6.33203125" style="5" customWidth="1"/>
    <col min="10886" max="10886" width="7.33203125" style="5" customWidth="1"/>
    <col min="10887" max="10887" width="7.6640625" style="5" customWidth="1"/>
    <col min="10888" max="10894" width="6.6640625" style="5" customWidth="1"/>
    <col min="10895" max="10895" width="7.33203125" style="5" customWidth="1"/>
    <col min="10896" max="10896" width="7.44140625" style="5" customWidth="1"/>
    <col min="10897" max="10897" width="9.33203125" style="5" customWidth="1"/>
    <col min="10898" max="10898" width="15.5546875" style="5" customWidth="1"/>
    <col min="10899" max="10899" width="11.109375" style="5" customWidth="1"/>
    <col min="10900" max="10902" width="0" style="5" hidden="1" customWidth="1"/>
    <col min="10903" max="10904" width="8.6640625" style="5" customWidth="1"/>
    <col min="10905" max="10905" width="5.33203125" style="5" customWidth="1"/>
    <col min="10906" max="10906" width="6.44140625" style="5" customWidth="1"/>
    <col min="10907" max="10907" width="16.6640625" style="5" customWidth="1"/>
    <col min="10908" max="10908" width="12" style="5" customWidth="1"/>
    <col min="10909" max="10909" width="9.109375" style="5" customWidth="1"/>
    <col min="10910" max="10910" width="9.44140625" style="5" customWidth="1"/>
    <col min="10911" max="10911" width="16.5546875" style="5" customWidth="1"/>
    <col min="10912" max="10912" width="6.5546875" style="5" customWidth="1"/>
    <col min="10913" max="10913" width="11.6640625" style="5" customWidth="1"/>
    <col min="10914" max="10914" width="8.88671875" style="5" customWidth="1"/>
    <col min="10915" max="10915" width="7.44140625" style="5" customWidth="1"/>
    <col min="10916" max="10916" width="4.88671875" style="5" customWidth="1"/>
    <col min="10917" max="10917" width="6.33203125" style="5" customWidth="1"/>
    <col min="10918" max="10918" width="2.5546875" style="5" customWidth="1"/>
    <col min="10919" max="10919" width="5.88671875" style="5" customWidth="1"/>
    <col min="10920" max="10920" width="1" style="5" customWidth="1"/>
    <col min="10921" max="10923" width="11.109375" style="5" customWidth="1"/>
    <col min="10924" max="10924" width="10.5546875" style="5" customWidth="1"/>
    <col min="10925" max="10925" width="10.88671875" style="5" customWidth="1"/>
    <col min="10926" max="10958" width="11" style="5" customWidth="1"/>
    <col min="10959" max="11139" width="11" style="5"/>
    <col min="11140" max="11140" width="13.88671875" style="5" customWidth="1"/>
    <col min="11141" max="11141" width="6.33203125" style="5" customWidth="1"/>
    <col min="11142" max="11142" width="7.33203125" style="5" customWidth="1"/>
    <col min="11143" max="11143" width="7.6640625" style="5" customWidth="1"/>
    <col min="11144" max="11150" width="6.6640625" style="5" customWidth="1"/>
    <col min="11151" max="11151" width="7.33203125" style="5" customWidth="1"/>
    <col min="11152" max="11152" width="7.44140625" style="5" customWidth="1"/>
    <col min="11153" max="11153" width="9.33203125" style="5" customWidth="1"/>
    <col min="11154" max="11154" width="15.5546875" style="5" customWidth="1"/>
    <col min="11155" max="11155" width="11.109375" style="5" customWidth="1"/>
    <col min="11156" max="11158" width="0" style="5" hidden="1" customWidth="1"/>
    <col min="11159" max="11160" width="8.6640625" style="5" customWidth="1"/>
    <col min="11161" max="11161" width="5.33203125" style="5" customWidth="1"/>
    <col min="11162" max="11162" width="6.44140625" style="5" customWidth="1"/>
    <col min="11163" max="11163" width="16.6640625" style="5" customWidth="1"/>
    <col min="11164" max="11164" width="12" style="5" customWidth="1"/>
    <col min="11165" max="11165" width="9.109375" style="5" customWidth="1"/>
    <col min="11166" max="11166" width="9.44140625" style="5" customWidth="1"/>
    <col min="11167" max="11167" width="16.5546875" style="5" customWidth="1"/>
    <col min="11168" max="11168" width="6.5546875" style="5" customWidth="1"/>
    <col min="11169" max="11169" width="11.6640625" style="5" customWidth="1"/>
    <col min="11170" max="11170" width="8.88671875" style="5" customWidth="1"/>
    <col min="11171" max="11171" width="7.44140625" style="5" customWidth="1"/>
    <col min="11172" max="11172" width="4.88671875" style="5" customWidth="1"/>
    <col min="11173" max="11173" width="6.33203125" style="5" customWidth="1"/>
    <col min="11174" max="11174" width="2.5546875" style="5" customWidth="1"/>
    <col min="11175" max="11175" width="5.88671875" style="5" customWidth="1"/>
    <col min="11176" max="11176" width="1" style="5" customWidth="1"/>
    <col min="11177" max="11179" width="11.109375" style="5" customWidth="1"/>
    <col min="11180" max="11180" width="10.5546875" style="5" customWidth="1"/>
    <col min="11181" max="11181" width="10.88671875" style="5" customWidth="1"/>
    <col min="11182" max="11214" width="11" style="5" customWidth="1"/>
    <col min="11215" max="11395" width="11" style="5"/>
    <col min="11396" max="11396" width="13.88671875" style="5" customWidth="1"/>
    <col min="11397" max="11397" width="6.33203125" style="5" customWidth="1"/>
    <col min="11398" max="11398" width="7.33203125" style="5" customWidth="1"/>
    <col min="11399" max="11399" width="7.6640625" style="5" customWidth="1"/>
    <col min="11400" max="11406" width="6.6640625" style="5" customWidth="1"/>
    <col min="11407" max="11407" width="7.33203125" style="5" customWidth="1"/>
    <col min="11408" max="11408" width="7.44140625" style="5" customWidth="1"/>
    <col min="11409" max="11409" width="9.33203125" style="5" customWidth="1"/>
    <col min="11410" max="11410" width="15.5546875" style="5" customWidth="1"/>
    <col min="11411" max="11411" width="11.109375" style="5" customWidth="1"/>
    <col min="11412" max="11414" width="0" style="5" hidden="1" customWidth="1"/>
    <col min="11415" max="11416" width="8.6640625" style="5" customWidth="1"/>
    <col min="11417" max="11417" width="5.33203125" style="5" customWidth="1"/>
    <col min="11418" max="11418" width="6.44140625" style="5" customWidth="1"/>
    <col min="11419" max="11419" width="16.6640625" style="5" customWidth="1"/>
    <col min="11420" max="11420" width="12" style="5" customWidth="1"/>
    <col min="11421" max="11421" width="9.109375" style="5" customWidth="1"/>
    <col min="11422" max="11422" width="9.44140625" style="5" customWidth="1"/>
    <col min="11423" max="11423" width="16.5546875" style="5" customWidth="1"/>
    <col min="11424" max="11424" width="6.5546875" style="5" customWidth="1"/>
    <col min="11425" max="11425" width="11.6640625" style="5" customWidth="1"/>
    <col min="11426" max="11426" width="8.88671875" style="5" customWidth="1"/>
    <col min="11427" max="11427" width="7.44140625" style="5" customWidth="1"/>
    <col min="11428" max="11428" width="4.88671875" style="5" customWidth="1"/>
    <col min="11429" max="11429" width="6.33203125" style="5" customWidth="1"/>
    <col min="11430" max="11430" width="2.5546875" style="5" customWidth="1"/>
    <col min="11431" max="11431" width="5.88671875" style="5" customWidth="1"/>
    <col min="11432" max="11432" width="1" style="5" customWidth="1"/>
    <col min="11433" max="11435" width="11.109375" style="5" customWidth="1"/>
    <col min="11436" max="11436" width="10.5546875" style="5" customWidth="1"/>
    <col min="11437" max="11437" width="10.88671875" style="5" customWidth="1"/>
    <col min="11438" max="11470" width="11" style="5" customWidth="1"/>
    <col min="11471" max="11651" width="11" style="5"/>
    <col min="11652" max="11652" width="13.88671875" style="5" customWidth="1"/>
    <col min="11653" max="11653" width="6.33203125" style="5" customWidth="1"/>
    <col min="11654" max="11654" width="7.33203125" style="5" customWidth="1"/>
    <col min="11655" max="11655" width="7.6640625" style="5" customWidth="1"/>
    <col min="11656" max="11662" width="6.6640625" style="5" customWidth="1"/>
    <col min="11663" max="11663" width="7.33203125" style="5" customWidth="1"/>
    <col min="11664" max="11664" width="7.44140625" style="5" customWidth="1"/>
    <col min="11665" max="11665" width="9.33203125" style="5" customWidth="1"/>
    <col min="11666" max="11666" width="15.5546875" style="5" customWidth="1"/>
    <col min="11667" max="11667" width="11.109375" style="5" customWidth="1"/>
    <col min="11668" max="11670" width="0" style="5" hidden="1" customWidth="1"/>
    <col min="11671" max="11672" width="8.6640625" style="5" customWidth="1"/>
    <col min="11673" max="11673" width="5.33203125" style="5" customWidth="1"/>
    <col min="11674" max="11674" width="6.44140625" style="5" customWidth="1"/>
    <col min="11675" max="11675" width="16.6640625" style="5" customWidth="1"/>
    <col min="11676" max="11676" width="12" style="5" customWidth="1"/>
    <col min="11677" max="11677" width="9.109375" style="5" customWidth="1"/>
    <col min="11678" max="11678" width="9.44140625" style="5" customWidth="1"/>
    <col min="11679" max="11679" width="16.5546875" style="5" customWidth="1"/>
    <col min="11680" max="11680" width="6.5546875" style="5" customWidth="1"/>
    <col min="11681" max="11681" width="11.6640625" style="5" customWidth="1"/>
    <col min="11682" max="11682" width="8.88671875" style="5" customWidth="1"/>
    <col min="11683" max="11683" width="7.44140625" style="5" customWidth="1"/>
    <col min="11684" max="11684" width="4.88671875" style="5" customWidth="1"/>
    <col min="11685" max="11685" width="6.33203125" style="5" customWidth="1"/>
    <col min="11686" max="11686" width="2.5546875" style="5" customWidth="1"/>
    <col min="11687" max="11687" width="5.88671875" style="5" customWidth="1"/>
    <col min="11688" max="11688" width="1" style="5" customWidth="1"/>
    <col min="11689" max="11691" width="11.109375" style="5" customWidth="1"/>
    <col min="11692" max="11692" width="10.5546875" style="5" customWidth="1"/>
    <col min="11693" max="11693" width="10.88671875" style="5" customWidth="1"/>
    <col min="11694" max="11726" width="11" style="5" customWidth="1"/>
    <col min="11727" max="11907" width="11" style="5"/>
    <col min="11908" max="11908" width="13.88671875" style="5" customWidth="1"/>
    <col min="11909" max="11909" width="6.33203125" style="5" customWidth="1"/>
    <col min="11910" max="11910" width="7.33203125" style="5" customWidth="1"/>
    <col min="11911" max="11911" width="7.6640625" style="5" customWidth="1"/>
    <col min="11912" max="11918" width="6.6640625" style="5" customWidth="1"/>
    <col min="11919" max="11919" width="7.33203125" style="5" customWidth="1"/>
    <col min="11920" max="11920" width="7.44140625" style="5" customWidth="1"/>
    <col min="11921" max="11921" width="9.33203125" style="5" customWidth="1"/>
    <col min="11922" max="11922" width="15.5546875" style="5" customWidth="1"/>
    <col min="11923" max="11923" width="11.109375" style="5" customWidth="1"/>
    <col min="11924" max="11926" width="0" style="5" hidden="1" customWidth="1"/>
    <col min="11927" max="11928" width="8.6640625" style="5" customWidth="1"/>
    <col min="11929" max="11929" width="5.33203125" style="5" customWidth="1"/>
    <col min="11930" max="11930" width="6.44140625" style="5" customWidth="1"/>
    <col min="11931" max="11931" width="16.6640625" style="5" customWidth="1"/>
    <col min="11932" max="11932" width="12" style="5" customWidth="1"/>
    <col min="11933" max="11933" width="9.109375" style="5" customWidth="1"/>
    <col min="11934" max="11934" width="9.44140625" style="5" customWidth="1"/>
    <col min="11935" max="11935" width="16.5546875" style="5" customWidth="1"/>
    <col min="11936" max="11936" width="6.5546875" style="5" customWidth="1"/>
    <col min="11937" max="11937" width="11.6640625" style="5" customWidth="1"/>
    <col min="11938" max="11938" width="8.88671875" style="5" customWidth="1"/>
    <col min="11939" max="11939" width="7.44140625" style="5" customWidth="1"/>
    <col min="11940" max="11940" width="4.88671875" style="5" customWidth="1"/>
    <col min="11941" max="11941" width="6.33203125" style="5" customWidth="1"/>
    <col min="11942" max="11942" width="2.5546875" style="5" customWidth="1"/>
    <col min="11943" max="11943" width="5.88671875" style="5" customWidth="1"/>
    <col min="11944" max="11944" width="1" style="5" customWidth="1"/>
    <col min="11945" max="11947" width="11.109375" style="5" customWidth="1"/>
    <col min="11948" max="11948" width="10.5546875" style="5" customWidth="1"/>
    <col min="11949" max="11949" width="10.88671875" style="5" customWidth="1"/>
    <col min="11950" max="11982" width="11" style="5" customWidth="1"/>
    <col min="11983" max="12163" width="11" style="5"/>
    <col min="12164" max="12164" width="13.88671875" style="5" customWidth="1"/>
    <col min="12165" max="12165" width="6.33203125" style="5" customWidth="1"/>
    <col min="12166" max="12166" width="7.33203125" style="5" customWidth="1"/>
    <col min="12167" max="12167" width="7.6640625" style="5" customWidth="1"/>
    <col min="12168" max="12174" width="6.6640625" style="5" customWidth="1"/>
    <col min="12175" max="12175" width="7.33203125" style="5" customWidth="1"/>
    <col min="12176" max="12176" width="7.44140625" style="5" customWidth="1"/>
    <col min="12177" max="12177" width="9.33203125" style="5" customWidth="1"/>
    <col min="12178" max="12178" width="15.5546875" style="5" customWidth="1"/>
    <col min="12179" max="12179" width="11.109375" style="5" customWidth="1"/>
    <col min="12180" max="12182" width="0" style="5" hidden="1" customWidth="1"/>
    <col min="12183" max="12184" width="8.6640625" style="5" customWidth="1"/>
    <col min="12185" max="12185" width="5.33203125" style="5" customWidth="1"/>
    <col min="12186" max="12186" width="6.44140625" style="5" customWidth="1"/>
    <col min="12187" max="12187" width="16.6640625" style="5" customWidth="1"/>
    <col min="12188" max="12188" width="12" style="5" customWidth="1"/>
    <col min="12189" max="12189" width="9.109375" style="5" customWidth="1"/>
    <col min="12190" max="12190" width="9.44140625" style="5" customWidth="1"/>
    <col min="12191" max="12191" width="16.5546875" style="5" customWidth="1"/>
    <col min="12192" max="12192" width="6.5546875" style="5" customWidth="1"/>
    <col min="12193" max="12193" width="11.6640625" style="5" customWidth="1"/>
    <col min="12194" max="12194" width="8.88671875" style="5" customWidth="1"/>
    <col min="12195" max="12195" width="7.44140625" style="5" customWidth="1"/>
    <col min="12196" max="12196" width="4.88671875" style="5" customWidth="1"/>
    <col min="12197" max="12197" width="6.33203125" style="5" customWidth="1"/>
    <col min="12198" max="12198" width="2.5546875" style="5" customWidth="1"/>
    <col min="12199" max="12199" width="5.88671875" style="5" customWidth="1"/>
    <col min="12200" max="12200" width="1" style="5" customWidth="1"/>
    <col min="12201" max="12203" width="11.109375" style="5" customWidth="1"/>
    <col min="12204" max="12204" width="10.5546875" style="5" customWidth="1"/>
    <col min="12205" max="12205" width="10.88671875" style="5" customWidth="1"/>
    <col min="12206" max="12238" width="11" style="5" customWidth="1"/>
    <col min="12239" max="12419" width="11" style="5"/>
    <col min="12420" max="12420" width="13.88671875" style="5" customWidth="1"/>
    <col min="12421" max="12421" width="6.33203125" style="5" customWidth="1"/>
    <col min="12422" max="12422" width="7.33203125" style="5" customWidth="1"/>
    <col min="12423" max="12423" width="7.6640625" style="5" customWidth="1"/>
    <col min="12424" max="12430" width="6.6640625" style="5" customWidth="1"/>
    <col min="12431" max="12431" width="7.33203125" style="5" customWidth="1"/>
    <col min="12432" max="12432" width="7.44140625" style="5" customWidth="1"/>
    <col min="12433" max="12433" width="9.33203125" style="5" customWidth="1"/>
    <col min="12434" max="12434" width="15.5546875" style="5" customWidth="1"/>
    <col min="12435" max="12435" width="11.109375" style="5" customWidth="1"/>
    <col min="12436" max="12438" width="0" style="5" hidden="1" customWidth="1"/>
    <col min="12439" max="12440" width="8.6640625" style="5" customWidth="1"/>
    <col min="12441" max="12441" width="5.33203125" style="5" customWidth="1"/>
    <col min="12442" max="12442" width="6.44140625" style="5" customWidth="1"/>
    <col min="12443" max="12443" width="16.6640625" style="5" customWidth="1"/>
    <col min="12444" max="12444" width="12" style="5" customWidth="1"/>
    <col min="12445" max="12445" width="9.109375" style="5" customWidth="1"/>
    <col min="12446" max="12446" width="9.44140625" style="5" customWidth="1"/>
    <col min="12447" max="12447" width="16.5546875" style="5" customWidth="1"/>
    <col min="12448" max="12448" width="6.5546875" style="5" customWidth="1"/>
    <col min="12449" max="12449" width="11.6640625" style="5" customWidth="1"/>
    <col min="12450" max="12450" width="8.88671875" style="5" customWidth="1"/>
    <col min="12451" max="12451" width="7.44140625" style="5" customWidth="1"/>
    <col min="12452" max="12452" width="4.88671875" style="5" customWidth="1"/>
    <col min="12453" max="12453" width="6.33203125" style="5" customWidth="1"/>
    <col min="12454" max="12454" width="2.5546875" style="5" customWidth="1"/>
    <col min="12455" max="12455" width="5.88671875" style="5" customWidth="1"/>
    <col min="12456" max="12456" width="1" style="5" customWidth="1"/>
    <col min="12457" max="12459" width="11.109375" style="5" customWidth="1"/>
    <col min="12460" max="12460" width="10.5546875" style="5" customWidth="1"/>
    <col min="12461" max="12461" width="10.88671875" style="5" customWidth="1"/>
    <col min="12462" max="12494" width="11" style="5" customWidth="1"/>
    <col min="12495" max="12675" width="11" style="5"/>
    <col min="12676" max="12676" width="13.88671875" style="5" customWidth="1"/>
    <col min="12677" max="12677" width="6.33203125" style="5" customWidth="1"/>
    <col min="12678" max="12678" width="7.33203125" style="5" customWidth="1"/>
    <col min="12679" max="12679" width="7.6640625" style="5" customWidth="1"/>
    <col min="12680" max="12686" width="6.6640625" style="5" customWidth="1"/>
    <col min="12687" max="12687" width="7.33203125" style="5" customWidth="1"/>
    <col min="12688" max="12688" width="7.44140625" style="5" customWidth="1"/>
    <col min="12689" max="12689" width="9.33203125" style="5" customWidth="1"/>
    <col min="12690" max="12690" width="15.5546875" style="5" customWidth="1"/>
    <col min="12691" max="12691" width="11.109375" style="5" customWidth="1"/>
    <col min="12692" max="12694" width="0" style="5" hidden="1" customWidth="1"/>
    <col min="12695" max="12696" width="8.6640625" style="5" customWidth="1"/>
    <col min="12697" max="12697" width="5.33203125" style="5" customWidth="1"/>
    <col min="12698" max="12698" width="6.44140625" style="5" customWidth="1"/>
    <col min="12699" max="12699" width="16.6640625" style="5" customWidth="1"/>
    <col min="12700" max="12700" width="12" style="5" customWidth="1"/>
    <col min="12701" max="12701" width="9.109375" style="5" customWidth="1"/>
    <col min="12702" max="12702" width="9.44140625" style="5" customWidth="1"/>
    <col min="12703" max="12703" width="16.5546875" style="5" customWidth="1"/>
    <col min="12704" max="12704" width="6.5546875" style="5" customWidth="1"/>
    <col min="12705" max="12705" width="11.6640625" style="5" customWidth="1"/>
    <col min="12706" max="12706" width="8.88671875" style="5" customWidth="1"/>
    <col min="12707" max="12707" width="7.44140625" style="5" customWidth="1"/>
    <col min="12708" max="12708" width="4.88671875" style="5" customWidth="1"/>
    <col min="12709" max="12709" width="6.33203125" style="5" customWidth="1"/>
    <col min="12710" max="12710" width="2.5546875" style="5" customWidth="1"/>
    <col min="12711" max="12711" width="5.88671875" style="5" customWidth="1"/>
    <col min="12712" max="12712" width="1" style="5" customWidth="1"/>
    <col min="12713" max="12715" width="11.109375" style="5" customWidth="1"/>
    <col min="12716" max="12716" width="10.5546875" style="5" customWidth="1"/>
    <col min="12717" max="12717" width="10.88671875" style="5" customWidth="1"/>
    <col min="12718" max="12750" width="11" style="5" customWidth="1"/>
    <col min="12751" max="12931" width="11" style="5"/>
    <col min="12932" max="12932" width="13.88671875" style="5" customWidth="1"/>
    <col min="12933" max="12933" width="6.33203125" style="5" customWidth="1"/>
    <col min="12934" max="12934" width="7.33203125" style="5" customWidth="1"/>
    <col min="12935" max="12935" width="7.6640625" style="5" customWidth="1"/>
    <col min="12936" max="12942" width="6.6640625" style="5" customWidth="1"/>
    <col min="12943" max="12943" width="7.33203125" style="5" customWidth="1"/>
    <col min="12944" max="12944" width="7.44140625" style="5" customWidth="1"/>
    <col min="12945" max="12945" width="9.33203125" style="5" customWidth="1"/>
    <col min="12946" max="12946" width="15.5546875" style="5" customWidth="1"/>
    <col min="12947" max="12947" width="11.109375" style="5" customWidth="1"/>
    <col min="12948" max="12950" width="0" style="5" hidden="1" customWidth="1"/>
    <col min="12951" max="12952" width="8.6640625" style="5" customWidth="1"/>
    <col min="12953" max="12953" width="5.33203125" style="5" customWidth="1"/>
    <col min="12954" max="12954" width="6.44140625" style="5" customWidth="1"/>
    <col min="12955" max="12955" width="16.6640625" style="5" customWidth="1"/>
    <col min="12956" max="12956" width="12" style="5" customWidth="1"/>
    <col min="12957" max="12957" width="9.109375" style="5" customWidth="1"/>
    <col min="12958" max="12958" width="9.44140625" style="5" customWidth="1"/>
    <col min="12959" max="12959" width="16.5546875" style="5" customWidth="1"/>
    <col min="12960" max="12960" width="6.5546875" style="5" customWidth="1"/>
    <col min="12961" max="12961" width="11.6640625" style="5" customWidth="1"/>
    <col min="12962" max="12962" width="8.88671875" style="5" customWidth="1"/>
    <col min="12963" max="12963" width="7.44140625" style="5" customWidth="1"/>
    <col min="12964" max="12964" width="4.88671875" style="5" customWidth="1"/>
    <col min="12965" max="12965" width="6.33203125" style="5" customWidth="1"/>
    <col min="12966" max="12966" width="2.5546875" style="5" customWidth="1"/>
    <col min="12967" max="12967" width="5.88671875" style="5" customWidth="1"/>
    <col min="12968" max="12968" width="1" style="5" customWidth="1"/>
    <col min="12969" max="12971" width="11.109375" style="5" customWidth="1"/>
    <col min="12972" max="12972" width="10.5546875" style="5" customWidth="1"/>
    <col min="12973" max="12973" width="10.88671875" style="5" customWidth="1"/>
    <col min="12974" max="13006" width="11" style="5" customWidth="1"/>
    <col min="13007" max="13187" width="11" style="5"/>
    <col min="13188" max="13188" width="13.88671875" style="5" customWidth="1"/>
    <col min="13189" max="13189" width="6.33203125" style="5" customWidth="1"/>
    <col min="13190" max="13190" width="7.33203125" style="5" customWidth="1"/>
    <col min="13191" max="13191" width="7.6640625" style="5" customWidth="1"/>
    <col min="13192" max="13198" width="6.6640625" style="5" customWidth="1"/>
    <col min="13199" max="13199" width="7.33203125" style="5" customWidth="1"/>
    <col min="13200" max="13200" width="7.44140625" style="5" customWidth="1"/>
    <col min="13201" max="13201" width="9.33203125" style="5" customWidth="1"/>
    <col min="13202" max="13202" width="15.5546875" style="5" customWidth="1"/>
    <col min="13203" max="13203" width="11.109375" style="5" customWidth="1"/>
    <col min="13204" max="13206" width="0" style="5" hidden="1" customWidth="1"/>
    <col min="13207" max="13208" width="8.6640625" style="5" customWidth="1"/>
    <col min="13209" max="13209" width="5.33203125" style="5" customWidth="1"/>
    <col min="13210" max="13210" width="6.44140625" style="5" customWidth="1"/>
    <col min="13211" max="13211" width="16.6640625" style="5" customWidth="1"/>
    <col min="13212" max="13212" width="12" style="5" customWidth="1"/>
    <col min="13213" max="13213" width="9.109375" style="5" customWidth="1"/>
    <col min="13214" max="13214" width="9.44140625" style="5" customWidth="1"/>
    <col min="13215" max="13215" width="16.5546875" style="5" customWidth="1"/>
    <col min="13216" max="13216" width="6.5546875" style="5" customWidth="1"/>
    <col min="13217" max="13217" width="11.6640625" style="5" customWidth="1"/>
    <col min="13218" max="13218" width="8.88671875" style="5" customWidth="1"/>
    <col min="13219" max="13219" width="7.44140625" style="5" customWidth="1"/>
    <col min="13220" max="13220" width="4.88671875" style="5" customWidth="1"/>
    <col min="13221" max="13221" width="6.33203125" style="5" customWidth="1"/>
    <col min="13222" max="13222" width="2.5546875" style="5" customWidth="1"/>
    <col min="13223" max="13223" width="5.88671875" style="5" customWidth="1"/>
    <col min="13224" max="13224" width="1" style="5" customWidth="1"/>
    <col min="13225" max="13227" width="11.109375" style="5" customWidth="1"/>
    <col min="13228" max="13228" width="10.5546875" style="5" customWidth="1"/>
    <col min="13229" max="13229" width="10.88671875" style="5" customWidth="1"/>
    <col min="13230" max="13262" width="11" style="5" customWidth="1"/>
    <col min="13263" max="13443" width="11" style="5"/>
    <col min="13444" max="13444" width="13.88671875" style="5" customWidth="1"/>
    <col min="13445" max="13445" width="6.33203125" style="5" customWidth="1"/>
    <col min="13446" max="13446" width="7.33203125" style="5" customWidth="1"/>
    <col min="13447" max="13447" width="7.6640625" style="5" customWidth="1"/>
    <col min="13448" max="13454" width="6.6640625" style="5" customWidth="1"/>
    <col min="13455" max="13455" width="7.33203125" style="5" customWidth="1"/>
    <col min="13456" max="13456" width="7.44140625" style="5" customWidth="1"/>
    <col min="13457" max="13457" width="9.33203125" style="5" customWidth="1"/>
    <col min="13458" max="13458" width="15.5546875" style="5" customWidth="1"/>
    <col min="13459" max="13459" width="11.109375" style="5" customWidth="1"/>
    <col min="13460" max="13462" width="0" style="5" hidden="1" customWidth="1"/>
    <col min="13463" max="13464" width="8.6640625" style="5" customWidth="1"/>
    <col min="13465" max="13465" width="5.33203125" style="5" customWidth="1"/>
    <col min="13466" max="13466" width="6.44140625" style="5" customWidth="1"/>
    <col min="13467" max="13467" width="16.6640625" style="5" customWidth="1"/>
    <col min="13468" max="13468" width="12" style="5" customWidth="1"/>
    <col min="13469" max="13469" width="9.109375" style="5" customWidth="1"/>
    <col min="13470" max="13470" width="9.44140625" style="5" customWidth="1"/>
    <col min="13471" max="13471" width="16.5546875" style="5" customWidth="1"/>
    <col min="13472" max="13472" width="6.5546875" style="5" customWidth="1"/>
    <col min="13473" max="13473" width="11.6640625" style="5" customWidth="1"/>
    <col min="13474" max="13474" width="8.88671875" style="5" customWidth="1"/>
    <col min="13475" max="13475" width="7.44140625" style="5" customWidth="1"/>
    <col min="13476" max="13476" width="4.88671875" style="5" customWidth="1"/>
    <col min="13477" max="13477" width="6.33203125" style="5" customWidth="1"/>
    <col min="13478" max="13478" width="2.5546875" style="5" customWidth="1"/>
    <col min="13479" max="13479" width="5.88671875" style="5" customWidth="1"/>
    <col min="13480" max="13480" width="1" style="5" customWidth="1"/>
    <col min="13481" max="13483" width="11.109375" style="5" customWidth="1"/>
    <col min="13484" max="13484" width="10.5546875" style="5" customWidth="1"/>
    <col min="13485" max="13485" width="10.88671875" style="5" customWidth="1"/>
    <col min="13486" max="13518" width="11" style="5" customWidth="1"/>
    <col min="13519" max="13699" width="11" style="5"/>
    <col min="13700" max="13700" width="13.88671875" style="5" customWidth="1"/>
    <col min="13701" max="13701" width="6.33203125" style="5" customWidth="1"/>
    <col min="13702" max="13702" width="7.33203125" style="5" customWidth="1"/>
    <col min="13703" max="13703" width="7.6640625" style="5" customWidth="1"/>
    <col min="13704" max="13710" width="6.6640625" style="5" customWidth="1"/>
    <col min="13711" max="13711" width="7.33203125" style="5" customWidth="1"/>
    <col min="13712" max="13712" width="7.44140625" style="5" customWidth="1"/>
    <col min="13713" max="13713" width="9.33203125" style="5" customWidth="1"/>
    <col min="13714" max="13714" width="15.5546875" style="5" customWidth="1"/>
    <col min="13715" max="13715" width="11.109375" style="5" customWidth="1"/>
    <col min="13716" max="13718" width="0" style="5" hidden="1" customWidth="1"/>
    <col min="13719" max="13720" width="8.6640625" style="5" customWidth="1"/>
    <col min="13721" max="13721" width="5.33203125" style="5" customWidth="1"/>
    <col min="13722" max="13722" width="6.44140625" style="5" customWidth="1"/>
    <col min="13723" max="13723" width="16.6640625" style="5" customWidth="1"/>
    <col min="13724" max="13724" width="12" style="5" customWidth="1"/>
    <col min="13725" max="13725" width="9.109375" style="5" customWidth="1"/>
    <col min="13726" max="13726" width="9.44140625" style="5" customWidth="1"/>
    <col min="13727" max="13727" width="16.5546875" style="5" customWidth="1"/>
    <col min="13728" max="13728" width="6.5546875" style="5" customWidth="1"/>
    <col min="13729" max="13729" width="11.6640625" style="5" customWidth="1"/>
    <col min="13730" max="13730" width="8.88671875" style="5" customWidth="1"/>
    <col min="13731" max="13731" width="7.44140625" style="5" customWidth="1"/>
    <col min="13732" max="13732" width="4.88671875" style="5" customWidth="1"/>
    <col min="13733" max="13733" width="6.33203125" style="5" customWidth="1"/>
    <col min="13734" max="13734" width="2.5546875" style="5" customWidth="1"/>
    <col min="13735" max="13735" width="5.88671875" style="5" customWidth="1"/>
    <col min="13736" max="13736" width="1" style="5" customWidth="1"/>
    <col min="13737" max="13739" width="11.109375" style="5" customWidth="1"/>
    <col min="13740" max="13740" width="10.5546875" style="5" customWidth="1"/>
    <col min="13741" max="13741" width="10.88671875" style="5" customWidth="1"/>
    <col min="13742" max="13774" width="11" style="5" customWidth="1"/>
    <col min="13775" max="13955" width="11" style="5"/>
    <col min="13956" max="13956" width="13.88671875" style="5" customWidth="1"/>
    <col min="13957" max="13957" width="6.33203125" style="5" customWidth="1"/>
    <col min="13958" max="13958" width="7.33203125" style="5" customWidth="1"/>
    <col min="13959" max="13959" width="7.6640625" style="5" customWidth="1"/>
    <col min="13960" max="13966" width="6.6640625" style="5" customWidth="1"/>
    <col min="13967" max="13967" width="7.33203125" style="5" customWidth="1"/>
    <col min="13968" max="13968" width="7.44140625" style="5" customWidth="1"/>
    <col min="13969" max="13969" width="9.33203125" style="5" customWidth="1"/>
    <col min="13970" max="13970" width="15.5546875" style="5" customWidth="1"/>
    <col min="13971" max="13971" width="11.109375" style="5" customWidth="1"/>
    <col min="13972" max="13974" width="0" style="5" hidden="1" customWidth="1"/>
    <col min="13975" max="13976" width="8.6640625" style="5" customWidth="1"/>
    <col min="13977" max="13977" width="5.33203125" style="5" customWidth="1"/>
    <col min="13978" max="13978" width="6.44140625" style="5" customWidth="1"/>
    <col min="13979" max="13979" width="16.6640625" style="5" customWidth="1"/>
    <col min="13980" max="13980" width="12" style="5" customWidth="1"/>
    <col min="13981" max="13981" width="9.109375" style="5" customWidth="1"/>
    <col min="13982" max="13982" width="9.44140625" style="5" customWidth="1"/>
    <col min="13983" max="13983" width="16.5546875" style="5" customWidth="1"/>
    <col min="13984" max="13984" width="6.5546875" style="5" customWidth="1"/>
    <col min="13985" max="13985" width="11.6640625" style="5" customWidth="1"/>
    <col min="13986" max="13986" width="8.88671875" style="5" customWidth="1"/>
    <col min="13987" max="13987" width="7.44140625" style="5" customWidth="1"/>
    <col min="13988" max="13988" width="4.88671875" style="5" customWidth="1"/>
    <col min="13989" max="13989" width="6.33203125" style="5" customWidth="1"/>
    <col min="13990" max="13990" width="2.5546875" style="5" customWidth="1"/>
    <col min="13991" max="13991" width="5.88671875" style="5" customWidth="1"/>
    <col min="13992" max="13992" width="1" style="5" customWidth="1"/>
    <col min="13993" max="13995" width="11.109375" style="5" customWidth="1"/>
    <col min="13996" max="13996" width="10.5546875" style="5" customWidth="1"/>
    <col min="13997" max="13997" width="10.88671875" style="5" customWidth="1"/>
    <col min="13998" max="14030" width="11" style="5" customWidth="1"/>
    <col min="14031" max="14211" width="11" style="5"/>
    <col min="14212" max="14212" width="13.88671875" style="5" customWidth="1"/>
    <col min="14213" max="14213" width="6.33203125" style="5" customWidth="1"/>
    <col min="14214" max="14214" width="7.33203125" style="5" customWidth="1"/>
    <col min="14215" max="14215" width="7.6640625" style="5" customWidth="1"/>
    <col min="14216" max="14222" width="6.6640625" style="5" customWidth="1"/>
    <col min="14223" max="14223" width="7.33203125" style="5" customWidth="1"/>
    <col min="14224" max="14224" width="7.44140625" style="5" customWidth="1"/>
    <col min="14225" max="14225" width="9.33203125" style="5" customWidth="1"/>
    <col min="14226" max="14226" width="15.5546875" style="5" customWidth="1"/>
    <col min="14227" max="14227" width="11.109375" style="5" customWidth="1"/>
    <col min="14228" max="14230" width="0" style="5" hidden="1" customWidth="1"/>
    <col min="14231" max="14232" width="8.6640625" style="5" customWidth="1"/>
    <col min="14233" max="14233" width="5.33203125" style="5" customWidth="1"/>
    <col min="14234" max="14234" width="6.44140625" style="5" customWidth="1"/>
    <col min="14235" max="14235" width="16.6640625" style="5" customWidth="1"/>
    <col min="14236" max="14236" width="12" style="5" customWidth="1"/>
    <col min="14237" max="14237" width="9.109375" style="5" customWidth="1"/>
    <col min="14238" max="14238" width="9.44140625" style="5" customWidth="1"/>
    <col min="14239" max="14239" width="16.5546875" style="5" customWidth="1"/>
    <col min="14240" max="14240" width="6.5546875" style="5" customWidth="1"/>
    <col min="14241" max="14241" width="11.6640625" style="5" customWidth="1"/>
    <col min="14242" max="14242" width="8.88671875" style="5" customWidth="1"/>
    <col min="14243" max="14243" width="7.44140625" style="5" customWidth="1"/>
    <col min="14244" max="14244" width="4.88671875" style="5" customWidth="1"/>
    <col min="14245" max="14245" width="6.33203125" style="5" customWidth="1"/>
    <col min="14246" max="14246" width="2.5546875" style="5" customWidth="1"/>
    <col min="14247" max="14247" width="5.88671875" style="5" customWidth="1"/>
    <col min="14248" max="14248" width="1" style="5" customWidth="1"/>
    <col min="14249" max="14251" width="11.109375" style="5" customWidth="1"/>
    <col min="14252" max="14252" width="10.5546875" style="5" customWidth="1"/>
    <col min="14253" max="14253" width="10.88671875" style="5" customWidth="1"/>
    <col min="14254" max="14286" width="11" style="5" customWidth="1"/>
    <col min="14287" max="14467" width="11" style="5"/>
    <col min="14468" max="14468" width="13.88671875" style="5" customWidth="1"/>
    <col min="14469" max="14469" width="6.33203125" style="5" customWidth="1"/>
    <col min="14470" max="14470" width="7.33203125" style="5" customWidth="1"/>
    <col min="14471" max="14471" width="7.6640625" style="5" customWidth="1"/>
    <col min="14472" max="14478" width="6.6640625" style="5" customWidth="1"/>
    <col min="14479" max="14479" width="7.33203125" style="5" customWidth="1"/>
    <col min="14480" max="14480" width="7.44140625" style="5" customWidth="1"/>
    <col min="14481" max="14481" width="9.33203125" style="5" customWidth="1"/>
    <col min="14482" max="14482" width="15.5546875" style="5" customWidth="1"/>
    <col min="14483" max="14483" width="11.109375" style="5" customWidth="1"/>
    <col min="14484" max="14486" width="0" style="5" hidden="1" customWidth="1"/>
    <col min="14487" max="14488" width="8.6640625" style="5" customWidth="1"/>
    <col min="14489" max="14489" width="5.33203125" style="5" customWidth="1"/>
    <col min="14490" max="14490" width="6.44140625" style="5" customWidth="1"/>
    <col min="14491" max="14491" width="16.6640625" style="5" customWidth="1"/>
    <col min="14492" max="14492" width="12" style="5" customWidth="1"/>
    <col min="14493" max="14493" width="9.109375" style="5" customWidth="1"/>
    <col min="14494" max="14494" width="9.44140625" style="5" customWidth="1"/>
    <col min="14495" max="14495" width="16.5546875" style="5" customWidth="1"/>
    <col min="14496" max="14496" width="6.5546875" style="5" customWidth="1"/>
    <col min="14497" max="14497" width="11.6640625" style="5" customWidth="1"/>
    <col min="14498" max="14498" width="8.88671875" style="5" customWidth="1"/>
    <col min="14499" max="14499" width="7.44140625" style="5" customWidth="1"/>
    <col min="14500" max="14500" width="4.88671875" style="5" customWidth="1"/>
    <col min="14501" max="14501" width="6.33203125" style="5" customWidth="1"/>
    <col min="14502" max="14502" width="2.5546875" style="5" customWidth="1"/>
    <col min="14503" max="14503" width="5.88671875" style="5" customWidth="1"/>
    <col min="14504" max="14504" width="1" style="5" customWidth="1"/>
    <col min="14505" max="14507" width="11.109375" style="5" customWidth="1"/>
    <col min="14508" max="14508" width="10.5546875" style="5" customWidth="1"/>
    <col min="14509" max="14509" width="10.88671875" style="5" customWidth="1"/>
    <col min="14510" max="14542" width="11" style="5" customWidth="1"/>
    <col min="14543" max="14723" width="11" style="5"/>
    <col min="14724" max="14724" width="13.88671875" style="5" customWidth="1"/>
    <col min="14725" max="14725" width="6.33203125" style="5" customWidth="1"/>
    <col min="14726" max="14726" width="7.33203125" style="5" customWidth="1"/>
    <col min="14727" max="14727" width="7.6640625" style="5" customWidth="1"/>
    <col min="14728" max="14734" width="6.6640625" style="5" customWidth="1"/>
    <col min="14735" max="14735" width="7.33203125" style="5" customWidth="1"/>
    <col min="14736" max="14736" width="7.44140625" style="5" customWidth="1"/>
    <col min="14737" max="14737" width="9.33203125" style="5" customWidth="1"/>
    <col min="14738" max="14738" width="15.5546875" style="5" customWidth="1"/>
    <col min="14739" max="14739" width="11.109375" style="5" customWidth="1"/>
    <col min="14740" max="14742" width="0" style="5" hidden="1" customWidth="1"/>
    <col min="14743" max="14744" width="8.6640625" style="5" customWidth="1"/>
    <col min="14745" max="14745" width="5.33203125" style="5" customWidth="1"/>
    <col min="14746" max="14746" width="6.44140625" style="5" customWidth="1"/>
    <col min="14747" max="14747" width="16.6640625" style="5" customWidth="1"/>
    <col min="14748" max="14748" width="12" style="5" customWidth="1"/>
    <col min="14749" max="14749" width="9.109375" style="5" customWidth="1"/>
    <col min="14750" max="14750" width="9.44140625" style="5" customWidth="1"/>
    <col min="14751" max="14751" width="16.5546875" style="5" customWidth="1"/>
    <col min="14752" max="14752" width="6.5546875" style="5" customWidth="1"/>
    <col min="14753" max="14753" width="11.6640625" style="5" customWidth="1"/>
    <col min="14754" max="14754" width="8.88671875" style="5" customWidth="1"/>
    <col min="14755" max="14755" width="7.44140625" style="5" customWidth="1"/>
    <col min="14756" max="14756" width="4.88671875" style="5" customWidth="1"/>
    <col min="14757" max="14757" width="6.33203125" style="5" customWidth="1"/>
    <col min="14758" max="14758" width="2.5546875" style="5" customWidth="1"/>
    <col min="14759" max="14759" width="5.88671875" style="5" customWidth="1"/>
    <col min="14760" max="14760" width="1" style="5" customWidth="1"/>
    <col min="14761" max="14763" width="11.109375" style="5" customWidth="1"/>
    <col min="14764" max="14764" width="10.5546875" style="5" customWidth="1"/>
    <col min="14765" max="14765" width="10.88671875" style="5" customWidth="1"/>
    <col min="14766" max="14798" width="11" style="5" customWidth="1"/>
    <col min="14799" max="14979" width="11" style="5"/>
    <col min="14980" max="14980" width="13.88671875" style="5" customWidth="1"/>
    <col min="14981" max="14981" width="6.33203125" style="5" customWidth="1"/>
    <col min="14982" max="14982" width="7.33203125" style="5" customWidth="1"/>
    <col min="14983" max="14983" width="7.6640625" style="5" customWidth="1"/>
    <col min="14984" max="14990" width="6.6640625" style="5" customWidth="1"/>
    <col min="14991" max="14991" width="7.33203125" style="5" customWidth="1"/>
    <col min="14992" max="14992" width="7.44140625" style="5" customWidth="1"/>
    <col min="14993" max="14993" width="9.33203125" style="5" customWidth="1"/>
    <col min="14994" max="14994" width="15.5546875" style="5" customWidth="1"/>
    <col min="14995" max="14995" width="11.109375" style="5" customWidth="1"/>
    <col min="14996" max="14998" width="0" style="5" hidden="1" customWidth="1"/>
    <col min="14999" max="15000" width="8.6640625" style="5" customWidth="1"/>
    <col min="15001" max="15001" width="5.33203125" style="5" customWidth="1"/>
    <col min="15002" max="15002" width="6.44140625" style="5" customWidth="1"/>
    <col min="15003" max="15003" width="16.6640625" style="5" customWidth="1"/>
    <col min="15004" max="15004" width="12" style="5" customWidth="1"/>
    <col min="15005" max="15005" width="9.109375" style="5" customWidth="1"/>
    <col min="15006" max="15006" width="9.44140625" style="5" customWidth="1"/>
    <col min="15007" max="15007" width="16.5546875" style="5" customWidth="1"/>
    <col min="15008" max="15008" width="6.5546875" style="5" customWidth="1"/>
    <col min="15009" max="15009" width="11.6640625" style="5" customWidth="1"/>
    <col min="15010" max="15010" width="8.88671875" style="5" customWidth="1"/>
    <col min="15011" max="15011" width="7.44140625" style="5" customWidth="1"/>
    <col min="15012" max="15012" width="4.88671875" style="5" customWidth="1"/>
    <col min="15013" max="15013" width="6.33203125" style="5" customWidth="1"/>
    <col min="15014" max="15014" width="2.5546875" style="5" customWidth="1"/>
    <col min="15015" max="15015" width="5.88671875" style="5" customWidth="1"/>
    <col min="15016" max="15016" width="1" style="5" customWidth="1"/>
    <col min="15017" max="15019" width="11.109375" style="5" customWidth="1"/>
    <col min="15020" max="15020" width="10.5546875" style="5" customWidth="1"/>
    <col min="15021" max="15021" width="10.88671875" style="5" customWidth="1"/>
    <col min="15022" max="15054" width="11" style="5" customWidth="1"/>
    <col min="15055" max="15235" width="11" style="5"/>
    <col min="15236" max="15236" width="13.88671875" style="5" customWidth="1"/>
    <col min="15237" max="15237" width="6.33203125" style="5" customWidth="1"/>
    <col min="15238" max="15238" width="7.33203125" style="5" customWidth="1"/>
    <col min="15239" max="15239" width="7.6640625" style="5" customWidth="1"/>
    <col min="15240" max="15246" width="6.6640625" style="5" customWidth="1"/>
    <col min="15247" max="15247" width="7.33203125" style="5" customWidth="1"/>
    <col min="15248" max="15248" width="7.44140625" style="5" customWidth="1"/>
    <col min="15249" max="15249" width="9.33203125" style="5" customWidth="1"/>
    <col min="15250" max="15250" width="15.5546875" style="5" customWidth="1"/>
    <col min="15251" max="15251" width="11.109375" style="5" customWidth="1"/>
    <col min="15252" max="15254" width="0" style="5" hidden="1" customWidth="1"/>
    <col min="15255" max="15256" width="8.6640625" style="5" customWidth="1"/>
    <col min="15257" max="15257" width="5.33203125" style="5" customWidth="1"/>
    <col min="15258" max="15258" width="6.44140625" style="5" customWidth="1"/>
    <col min="15259" max="15259" width="16.6640625" style="5" customWidth="1"/>
    <col min="15260" max="15260" width="12" style="5" customWidth="1"/>
    <col min="15261" max="15261" width="9.109375" style="5" customWidth="1"/>
    <col min="15262" max="15262" width="9.44140625" style="5" customWidth="1"/>
    <col min="15263" max="15263" width="16.5546875" style="5" customWidth="1"/>
    <col min="15264" max="15264" width="6.5546875" style="5" customWidth="1"/>
    <col min="15265" max="15265" width="11.6640625" style="5" customWidth="1"/>
    <col min="15266" max="15266" width="8.88671875" style="5" customWidth="1"/>
    <col min="15267" max="15267" width="7.44140625" style="5" customWidth="1"/>
    <col min="15268" max="15268" width="4.88671875" style="5" customWidth="1"/>
    <col min="15269" max="15269" width="6.33203125" style="5" customWidth="1"/>
    <col min="15270" max="15270" width="2.5546875" style="5" customWidth="1"/>
    <col min="15271" max="15271" width="5.88671875" style="5" customWidth="1"/>
    <col min="15272" max="15272" width="1" style="5" customWidth="1"/>
    <col min="15273" max="15275" width="11.109375" style="5" customWidth="1"/>
    <col min="15276" max="15276" width="10.5546875" style="5" customWidth="1"/>
    <col min="15277" max="15277" width="10.88671875" style="5" customWidth="1"/>
    <col min="15278" max="15310" width="11" style="5" customWidth="1"/>
    <col min="15311" max="15491" width="11" style="5"/>
    <col min="15492" max="15492" width="13.88671875" style="5" customWidth="1"/>
    <col min="15493" max="15493" width="6.33203125" style="5" customWidth="1"/>
    <col min="15494" max="15494" width="7.33203125" style="5" customWidth="1"/>
    <col min="15495" max="15495" width="7.6640625" style="5" customWidth="1"/>
    <col min="15496" max="15502" width="6.6640625" style="5" customWidth="1"/>
    <col min="15503" max="15503" width="7.33203125" style="5" customWidth="1"/>
    <col min="15504" max="15504" width="7.44140625" style="5" customWidth="1"/>
    <col min="15505" max="15505" width="9.33203125" style="5" customWidth="1"/>
    <col min="15506" max="15506" width="15.5546875" style="5" customWidth="1"/>
    <col min="15507" max="15507" width="11.109375" style="5" customWidth="1"/>
    <col min="15508" max="15510" width="0" style="5" hidden="1" customWidth="1"/>
    <col min="15511" max="15512" width="8.6640625" style="5" customWidth="1"/>
    <col min="15513" max="15513" width="5.33203125" style="5" customWidth="1"/>
    <col min="15514" max="15514" width="6.44140625" style="5" customWidth="1"/>
    <col min="15515" max="15515" width="16.6640625" style="5" customWidth="1"/>
    <col min="15516" max="15516" width="12" style="5" customWidth="1"/>
    <col min="15517" max="15517" width="9.109375" style="5" customWidth="1"/>
    <col min="15518" max="15518" width="9.44140625" style="5" customWidth="1"/>
    <col min="15519" max="15519" width="16.5546875" style="5" customWidth="1"/>
    <col min="15520" max="15520" width="6.5546875" style="5" customWidth="1"/>
    <col min="15521" max="15521" width="11.6640625" style="5" customWidth="1"/>
    <col min="15522" max="15522" width="8.88671875" style="5" customWidth="1"/>
    <col min="15523" max="15523" width="7.44140625" style="5" customWidth="1"/>
    <col min="15524" max="15524" width="4.88671875" style="5" customWidth="1"/>
    <col min="15525" max="15525" width="6.33203125" style="5" customWidth="1"/>
    <col min="15526" max="15526" width="2.5546875" style="5" customWidth="1"/>
    <col min="15527" max="15527" width="5.88671875" style="5" customWidth="1"/>
    <col min="15528" max="15528" width="1" style="5" customWidth="1"/>
    <col min="15529" max="15531" width="11.109375" style="5" customWidth="1"/>
    <col min="15532" max="15532" width="10.5546875" style="5" customWidth="1"/>
    <col min="15533" max="15533" width="10.88671875" style="5" customWidth="1"/>
    <col min="15534" max="15566" width="11" style="5" customWidth="1"/>
    <col min="15567" max="15747" width="11" style="5"/>
    <col min="15748" max="15748" width="13.88671875" style="5" customWidth="1"/>
    <col min="15749" max="15749" width="6.33203125" style="5" customWidth="1"/>
    <col min="15750" max="15750" width="7.33203125" style="5" customWidth="1"/>
    <col min="15751" max="15751" width="7.6640625" style="5" customWidth="1"/>
    <col min="15752" max="15758" width="6.6640625" style="5" customWidth="1"/>
    <col min="15759" max="15759" width="7.33203125" style="5" customWidth="1"/>
    <col min="15760" max="15760" width="7.44140625" style="5" customWidth="1"/>
    <col min="15761" max="15761" width="9.33203125" style="5" customWidth="1"/>
    <col min="15762" max="15762" width="15.5546875" style="5" customWidth="1"/>
    <col min="15763" max="15763" width="11.109375" style="5" customWidth="1"/>
    <col min="15764" max="15766" width="0" style="5" hidden="1" customWidth="1"/>
    <col min="15767" max="15768" width="8.6640625" style="5" customWidth="1"/>
    <col min="15769" max="15769" width="5.33203125" style="5" customWidth="1"/>
    <col min="15770" max="15770" width="6.44140625" style="5" customWidth="1"/>
    <col min="15771" max="15771" width="16.6640625" style="5" customWidth="1"/>
    <col min="15772" max="15772" width="12" style="5" customWidth="1"/>
    <col min="15773" max="15773" width="9.109375" style="5" customWidth="1"/>
    <col min="15774" max="15774" width="9.44140625" style="5" customWidth="1"/>
    <col min="15775" max="15775" width="16.5546875" style="5" customWidth="1"/>
    <col min="15776" max="15776" width="6.5546875" style="5" customWidth="1"/>
    <col min="15777" max="15777" width="11.6640625" style="5" customWidth="1"/>
    <col min="15778" max="15778" width="8.88671875" style="5" customWidth="1"/>
    <col min="15779" max="15779" width="7.44140625" style="5" customWidth="1"/>
    <col min="15780" max="15780" width="4.88671875" style="5" customWidth="1"/>
    <col min="15781" max="15781" width="6.33203125" style="5" customWidth="1"/>
    <col min="15782" max="15782" width="2.5546875" style="5" customWidth="1"/>
    <col min="15783" max="15783" width="5.88671875" style="5" customWidth="1"/>
    <col min="15784" max="15784" width="1" style="5" customWidth="1"/>
    <col min="15785" max="15787" width="11.109375" style="5" customWidth="1"/>
    <col min="15788" max="15788" width="10.5546875" style="5" customWidth="1"/>
    <col min="15789" max="15789" width="10.88671875" style="5" customWidth="1"/>
    <col min="15790" max="15822" width="11" style="5" customWidth="1"/>
    <col min="15823" max="16003" width="11" style="5"/>
    <col min="16004" max="16004" width="13.88671875" style="5" customWidth="1"/>
    <col min="16005" max="16005" width="6.33203125" style="5" customWidth="1"/>
    <col min="16006" max="16006" width="7.33203125" style="5" customWidth="1"/>
    <col min="16007" max="16007" width="7.6640625" style="5" customWidth="1"/>
    <col min="16008" max="16014" width="6.6640625" style="5" customWidth="1"/>
    <col min="16015" max="16015" width="7.33203125" style="5" customWidth="1"/>
    <col min="16016" max="16016" width="7.44140625" style="5" customWidth="1"/>
    <col min="16017" max="16017" width="9.33203125" style="5" customWidth="1"/>
    <col min="16018" max="16018" width="15.5546875" style="5" customWidth="1"/>
    <col min="16019" max="16019" width="11.109375" style="5" customWidth="1"/>
    <col min="16020" max="16022" width="0" style="5" hidden="1" customWidth="1"/>
    <col min="16023" max="16024" width="8.6640625" style="5" customWidth="1"/>
    <col min="16025" max="16025" width="5.33203125" style="5" customWidth="1"/>
    <col min="16026" max="16026" width="6.44140625" style="5" customWidth="1"/>
    <col min="16027" max="16027" width="16.6640625" style="5" customWidth="1"/>
    <col min="16028" max="16028" width="12" style="5" customWidth="1"/>
    <col min="16029" max="16029" width="9.109375" style="5" customWidth="1"/>
    <col min="16030" max="16030" width="9.44140625" style="5" customWidth="1"/>
    <col min="16031" max="16031" width="16.5546875" style="5" customWidth="1"/>
    <col min="16032" max="16032" width="6.5546875" style="5" customWidth="1"/>
    <col min="16033" max="16033" width="11.6640625" style="5" customWidth="1"/>
    <col min="16034" max="16034" width="8.88671875" style="5" customWidth="1"/>
    <col min="16035" max="16035" width="7.44140625" style="5" customWidth="1"/>
    <col min="16036" max="16036" width="4.88671875" style="5" customWidth="1"/>
    <col min="16037" max="16037" width="6.33203125" style="5" customWidth="1"/>
    <col min="16038" max="16038" width="2.5546875" style="5" customWidth="1"/>
    <col min="16039" max="16039" width="5.88671875" style="5" customWidth="1"/>
    <col min="16040" max="16040" width="1" style="5" customWidth="1"/>
    <col min="16041" max="16043" width="11.109375" style="5" customWidth="1"/>
    <col min="16044" max="16044" width="10.5546875" style="5" customWidth="1"/>
    <col min="16045" max="16045" width="10.88671875" style="5" customWidth="1"/>
    <col min="16046" max="16078" width="11" style="5" customWidth="1"/>
    <col min="16079" max="16384" width="11" style="5"/>
  </cols>
  <sheetData>
    <row r="1" spans="1:24" ht="25.5" customHeight="1" x14ac:dyDescent="0.3">
      <c r="A1" s="758" t="s">
        <v>538</v>
      </c>
      <c r="B1" s="759"/>
      <c r="C1" s="759"/>
      <c r="D1" s="759"/>
      <c r="E1" s="759"/>
      <c r="F1" s="759"/>
      <c r="G1" s="759"/>
      <c r="H1" s="759"/>
      <c r="I1" s="759"/>
      <c r="J1" s="759"/>
      <c r="K1" s="759"/>
      <c r="L1" s="759"/>
      <c r="M1" s="759"/>
    </row>
    <row r="2" spans="1:24" ht="25.5" customHeight="1" x14ac:dyDescent="0.3">
      <c r="A2" s="759"/>
      <c r="B2" s="759"/>
      <c r="C2" s="759"/>
      <c r="D2" s="759"/>
      <c r="E2" s="759"/>
      <c r="F2" s="759"/>
      <c r="G2" s="759"/>
      <c r="H2" s="759"/>
      <c r="I2" s="759"/>
      <c r="J2" s="759"/>
      <c r="K2" s="759"/>
      <c r="L2" s="759"/>
      <c r="M2" s="759"/>
    </row>
    <row r="3" spans="1:24" ht="42.75" customHeight="1" x14ac:dyDescent="0.3">
      <c r="A3" s="733" t="s">
        <v>446</v>
      </c>
      <c r="B3" s="734"/>
      <c r="C3" s="734"/>
      <c r="D3" s="734"/>
      <c r="E3" s="734"/>
      <c r="F3" s="734"/>
      <c r="G3" s="734"/>
      <c r="H3" s="734"/>
      <c r="I3" s="734"/>
      <c r="J3" s="734"/>
      <c r="K3" s="734"/>
      <c r="L3" s="734"/>
      <c r="M3" s="734"/>
    </row>
    <row r="4" spans="1:24" ht="16.2" thickBot="1" x14ac:dyDescent="0.35"/>
    <row r="5" spans="1:24" s="2" customFormat="1" ht="16.2" thickTop="1" x14ac:dyDescent="0.3">
      <c r="A5" s="193"/>
      <c r="B5" s="192"/>
      <c r="C5" s="192"/>
      <c r="D5" s="192"/>
      <c r="E5" s="192"/>
      <c r="F5" s="192"/>
      <c r="G5" s="192"/>
      <c r="H5" s="192"/>
      <c r="I5" s="192"/>
      <c r="J5" s="192"/>
      <c r="K5" s="192"/>
      <c r="L5" s="192"/>
      <c r="M5" s="194"/>
      <c r="N5" s="196"/>
      <c r="O5" s="196"/>
      <c r="P5" s="196"/>
      <c r="Q5" s="196"/>
      <c r="R5" s="196"/>
      <c r="S5" s="196"/>
      <c r="T5" s="196"/>
      <c r="U5" s="196"/>
      <c r="V5" s="196"/>
      <c r="W5" s="196"/>
      <c r="X5" s="196"/>
    </row>
    <row r="6" spans="1:24" s="2" customFormat="1" ht="28.5" customHeight="1" x14ac:dyDescent="0.3">
      <c r="A6" s="186"/>
      <c r="B6" s="180"/>
      <c r="C6" s="180"/>
      <c r="D6" s="180"/>
      <c r="E6" s="111"/>
      <c r="F6" s="111"/>
      <c r="G6" s="111"/>
      <c r="H6" s="111"/>
      <c r="I6" s="111"/>
      <c r="J6" s="111"/>
      <c r="K6" s="111"/>
      <c r="L6" s="111"/>
      <c r="M6" s="187"/>
      <c r="N6" s="196"/>
      <c r="O6" s="196"/>
      <c r="P6" s="196"/>
      <c r="Q6" s="196"/>
      <c r="R6" s="196"/>
      <c r="S6" s="196"/>
      <c r="T6" s="196"/>
      <c r="U6" s="196"/>
      <c r="V6" s="196"/>
      <c r="W6" s="196"/>
      <c r="X6" s="196"/>
    </row>
    <row r="7" spans="1:24" s="2" customFormat="1" ht="15" customHeight="1" x14ac:dyDescent="0.3">
      <c r="A7" s="186"/>
      <c r="B7" s="180"/>
      <c r="C7" s="180"/>
      <c r="D7" s="180"/>
      <c r="E7" s="111"/>
      <c r="F7" s="111"/>
      <c r="G7" s="111"/>
      <c r="H7" s="111"/>
      <c r="I7" s="111"/>
      <c r="J7" s="111"/>
      <c r="K7" s="111"/>
      <c r="L7" s="111"/>
      <c r="M7" s="187"/>
      <c r="N7" s="196"/>
      <c r="O7" s="196"/>
      <c r="P7" s="196"/>
      <c r="Q7" s="196"/>
      <c r="R7" s="196"/>
      <c r="S7" s="196"/>
      <c r="T7" s="196"/>
      <c r="U7" s="196"/>
      <c r="V7" s="196"/>
      <c r="W7" s="196"/>
      <c r="X7" s="196"/>
    </row>
    <row r="8" spans="1:24" s="2" customFormat="1" ht="15" customHeight="1" x14ac:dyDescent="0.3">
      <c r="A8" s="186"/>
      <c r="B8" s="180"/>
      <c r="C8" s="180"/>
      <c r="D8" s="180"/>
      <c r="E8" s="111"/>
      <c r="F8" s="111"/>
      <c r="G8" s="111"/>
      <c r="H8" s="111"/>
      <c r="I8" s="111"/>
      <c r="J8" s="111"/>
      <c r="K8" s="111"/>
      <c r="L8" s="111"/>
      <c r="M8" s="187"/>
      <c r="N8" s="196"/>
      <c r="O8" s="196"/>
      <c r="P8" s="196"/>
      <c r="Q8" s="196"/>
      <c r="R8" s="196"/>
      <c r="S8" s="196"/>
      <c r="T8" s="196"/>
      <c r="U8" s="196"/>
      <c r="V8" s="196"/>
      <c r="W8" s="196"/>
      <c r="X8" s="196"/>
    </row>
    <row r="9" spans="1:24" s="2" customFormat="1" ht="15.75" customHeight="1" thickBot="1" x14ac:dyDescent="0.35">
      <c r="A9" s="186"/>
      <c r="B9" s="180"/>
      <c r="C9" s="180"/>
      <c r="D9" s="180"/>
      <c r="E9" s="111"/>
      <c r="F9" s="111"/>
      <c r="G9" s="111"/>
      <c r="H9" s="111"/>
      <c r="I9" s="111"/>
      <c r="J9" s="111"/>
      <c r="K9" s="111"/>
      <c r="L9" s="111"/>
      <c r="M9" s="187"/>
      <c r="N9" s="196"/>
      <c r="O9" s="196"/>
      <c r="P9" s="196"/>
      <c r="Q9" s="196"/>
      <c r="R9" s="196"/>
      <c r="S9" s="196"/>
      <c r="T9" s="196"/>
      <c r="U9" s="196"/>
      <c r="V9" s="196"/>
      <c r="W9" s="196"/>
      <c r="X9" s="196"/>
    </row>
    <row r="10" spans="1:24" s="2" customFormat="1" ht="25.5" customHeight="1" thickTop="1" x14ac:dyDescent="0.3">
      <c r="A10" s="186"/>
      <c r="B10" s="761" t="s">
        <v>447</v>
      </c>
      <c r="C10" s="762"/>
      <c r="D10" s="762"/>
      <c r="E10" s="762"/>
      <c r="F10" s="762"/>
      <c r="G10" s="762"/>
      <c r="H10" s="762"/>
      <c r="I10" s="762"/>
      <c r="J10" s="762"/>
      <c r="K10" s="763"/>
      <c r="L10" s="111"/>
      <c r="M10" s="188"/>
      <c r="N10" s="219"/>
      <c r="O10" s="196"/>
      <c r="P10" s="196"/>
      <c r="Q10" s="196"/>
      <c r="R10" s="196"/>
      <c r="S10" s="196"/>
      <c r="T10" s="196"/>
      <c r="U10" s="196"/>
      <c r="V10" s="196"/>
      <c r="W10" s="196"/>
      <c r="X10" s="196"/>
    </row>
    <row r="11" spans="1:24" s="2" customFormat="1" ht="25.5" customHeight="1" x14ac:dyDescent="0.3">
      <c r="A11" s="186"/>
      <c r="B11" s="764"/>
      <c r="C11" s="765"/>
      <c r="D11" s="765"/>
      <c r="E11" s="765"/>
      <c r="F11" s="765"/>
      <c r="G11" s="765"/>
      <c r="H11" s="765"/>
      <c r="I11" s="765"/>
      <c r="J11" s="765"/>
      <c r="K11" s="766"/>
      <c r="L11" s="111"/>
      <c r="M11" s="188"/>
      <c r="N11" s="219"/>
      <c r="O11" s="196"/>
      <c r="P11" s="196"/>
      <c r="Q11" s="196"/>
      <c r="R11" s="196"/>
      <c r="S11" s="196"/>
      <c r="T11" s="196"/>
      <c r="U11" s="196"/>
      <c r="V11" s="196"/>
      <c r="W11" s="196"/>
      <c r="X11" s="196"/>
    </row>
    <row r="12" spans="1:24" s="2" customFormat="1" ht="25.5" customHeight="1" x14ac:dyDescent="0.3">
      <c r="A12" s="186"/>
      <c r="B12" s="764"/>
      <c r="C12" s="765"/>
      <c r="D12" s="765"/>
      <c r="E12" s="765"/>
      <c r="F12" s="765"/>
      <c r="G12" s="765"/>
      <c r="H12" s="765"/>
      <c r="I12" s="765"/>
      <c r="J12" s="765"/>
      <c r="K12" s="766"/>
      <c r="L12" s="111"/>
      <c r="M12" s="188"/>
      <c r="N12" s="219"/>
      <c r="O12" s="196"/>
      <c r="P12" s="196"/>
      <c r="Q12" s="196"/>
      <c r="R12" s="196"/>
      <c r="S12" s="196"/>
      <c r="T12" s="196"/>
      <c r="U12" s="196"/>
      <c r="V12" s="196"/>
      <c r="W12" s="196"/>
      <c r="X12" s="196"/>
    </row>
    <row r="13" spans="1:24" s="2" customFormat="1" ht="25.5" customHeight="1" thickBot="1" x14ac:dyDescent="0.35">
      <c r="A13" s="186"/>
      <c r="B13" s="767"/>
      <c r="C13" s="768"/>
      <c r="D13" s="768"/>
      <c r="E13" s="768"/>
      <c r="F13" s="768"/>
      <c r="G13" s="768"/>
      <c r="H13" s="768"/>
      <c r="I13" s="768"/>
      <c r="J13" s="768"/>
      <c r="K13" s="769"/>
      <c r="L13" s="111"/>
      <c r="M13" s="188"/>
      <c r="N13" s="219"/>
      <c r="O13" s="196"/>
      <c r="P13" s="196"/>
      <c r="Q13" s="196"/>
      <c r="R13" s="196"/>
      <c r="S13" s="196"/>
      <c r="T13" s="196"/>
      <c r="U13" s="196"/>
      <c r="V13" s="196"/>
      <c r="W13" s="196"/>
      <c r="X13" s="196"/>
    </row>
    <row r="14" spans="1:24" s="2" customFormat="1" ht="25.2" thickTop="1" x14ac:dyDescent="0.3">
      <c r="A14" s="186"/>
      <c r="B14" s="181"/>
      <c r="C14" s="181"/>
      <c r="D14" s="181"/>
      <c r="E14" s="181"/>
      <c r="F14" s="181"/>
      <c r="G14" s="181"/>
      <c r="H14" s="182"/>
      <c r="I14" s="182"/>
      <c r="J14" s="182"/>
      <c r="K14" s="182"/>
      <c r="L14" s="111"/>
      <c r="M14" s="189"/>
      <c r="N14" s="219"/>
      <c r="O14" s="219"/>
      <c r="P14" s="219"/>
      <c r="Q14" s="219"/>
      <c r="R14" s="196"/>
      <c r="S14" s="196"/>
      <c r="T14" s="196"/>
      <c r="U14" s="196"/>
      <c r="V14" s="196"/>
      <c r="W14" s="196"/>
      <c r="X14" s="196"/>
    </row>
    <row r="15" spans="1:24" s="2" customFormat="1" ht="16.2" x14ac:dyDescent="0.35">
      <c r="A15" s="186"/>
      <c r="B15" s="111"/>
      <c r="C15" s="183"/>
      <c r="D15" s="111"/>
      <c r="E15" s="111"/>
      <c r="F15" s="111"/>
      <c r="G15" s="111"/>
      <c r="H15" s="111"/>
      <c r="I15" s="184"/>
      <c r="J15" s="111"/>
      <c r="K15" s="111"/>
      <c r="L15" s="111"/>
      <c r="M15" s="187"/>
      <c r="N15" s="196"/>
      <c r="O15" s="196"/>
      <c r="P15" s="196"/>
      <c r="Q15" s="196"/>
      <c r="R15" s="196"/>
      <c r="S15" s="196"/>
      <c r="T15" s="196"/>
      <c r="U15" s="196"/>
      <c r="V15" s="196"/>
      <c r="W15" s="196"/>
      <c r="X15" s="196"/>
    </row>
    <row r="16" spans="1:24" s="2" customFormat="1" ht="36.75" customHeight="1" x14ac:dyDescent="0.3">
      <c r="A16" s="775" t="s">
        <v>0</v>
      </c>
      <c r="B16" s="776"/>
      <c r="C16" s="776"/>
      <c r="D16" s="776"/>
      <c r="E16" s="776"/>
      <c r="F16" s="776"/>
      <c r="G16" s="776"/>
      <c r="H16" s="776"/>
      <c r="I16" s="776"/>
      <c r="J16" s="776"/>
      <c r="K16" s="776"/>
      <c r="L16" s="776"/>
      <c r="M16" s="777"/>
      <c r="N16" s="196"/>
      <c r="O16" s="196"/>
      <c r="P16" s="228"/>
      <c r="Q16" s="228"/>
      <c r="R16" s="228"/>
      <c r="S16" s="228"/>
      <c r="T16" s="196"/>
      <c r="U16" s="196"/>
      <c r="V16" s="196"/>
      <c r="W16" s="196"/>
      <c r="X16" s="196"/>
    </row>
    <row r="17" spans="1:24" s="2" customFormat="1" x14ac:dyDescent="0.3">
      <c r="A17" s="186"/>
      <c r="B17" s="111"/>
      <c r="C17" s="111"/>
      <c r="D17" s="111"/>
      <c r="E17" s="111"/>
      <c r="F17" s="111"/>
      <c r="G17" s="111"/>
      <c r="H17" s="111"/>
      <c r="I17" s="179"/>
      <c r="J17" s="111"/>
      <c r="K17" s="111"/>
      <c r="L17" s="111"/>
      <c r="M17" s="187"/>
      <c r="N17" s="196"/>
      <c r="O17" s="196"/>
      <c r="P17" s="196"/>
      <c r="Q17" s="196"/>
      <c r="R17" s="196"/>
      <c r="S17" s="196"/>
      <c r="T17" s="196"/>
      <c r="U17" s="196"/>
      <c r="V17" s="196"/>
      <c r="W17" s="196"/>
      <c r="X17" s="196"/>
    </row>
    <row r="18" spans="1:24" s="2" customFormat="1" x14ac:dyDescent="0.3">
      <c r="A18" s="186"/>
      <c r="B18" s="111"/>
      <c r="C18" s="111"/>
      <c r="D18" s="111"/>
      <c r="E18" s="111"/>
      <c r="F18" s="111"/>
      <c r="G18" s="111"/>
      <c r="H18" s="111"/>
      <c r="I18" s="111"/>
      <c r="J18" s="111"/>
      <c r="K18" s="111"/>
      <c r="L18" s="111"/>
      <c r="M18" s="187"/>
      <c r="N18" s="196"/>
      <c r="O18" s="196"/>
      <c r="P18" s="196"/>
      <c r="Q18" s="196"/>
      <c r="R18" s="196"/>
      <c r="S18" s="196"/>
      <c r="T18" s="196"/>
      <c r="U18" s="196"/>
      <c r="V18" s="196"/>
      <c r="W18" s="196"/>
      <c r="X18" s="196"/>
    </row>
    <row r="19" spans="1:24" s="2" customFormat="1" ht="21" x14ac:dyDescent="0.3">
      <c r="A19" s="186"/>
      <c r="B19" s="185"/>
      <c r="C19" s="185"/>
      <c r="D19" s="185"/>
      <c r="E19" s="185"/>
      <c r="F19" s="185"/>
      <c r="G19" s="185"/>
      <c r="H19" s="185"/>
      <c r="I19" s="111"/>
      <c r="J19" s="185"/>
      <c r="K19" s="185"/>
      <c r="L19" s="185"/>
      <c r="M19" s="190"/>
      <c r="N19" s="229"/>
      <c r="P19" s="229"/>
      <c r="Q19" s="229"/>
      <c r="R19" s="229"/>
      <c r="S19" s="229"/>
      <c r="T19" s="196"/>
      <c r="U19" s="196"/>
      <c r="V19" s="196"/>
      <c r="W19" s="196"/>
      <c r="X19" s="196"/>
    </row>
    <row r="20" spans="1:24" s="2" customFormat="1" ht="21.6" thickBot="1" x14ac:dyDescent="0.4">
      <c r="A20" s="186"/>
      <c r="B20" s="111"/>
      <c r="C20" s="111"/>
      <c r="D20" s="111"/>
      <c r="E20" s="111"/>
      <c r="F20" s="111"/>
      <c r="G20" s="111"/>
      <c r="H20" s="111"/>
      <c r="I20" s="111"/>
      <c r="J20" s="112"/>
      <c r="K20" s="112"/>
      <c r="L20" s="112"/>
      <c r="M20" s="191"/>
      <c r="N20" s="196"/>
      <c r="O20" s="229"/>
      <c r="P20" s="196"/>
      <c r="Q20" s="196"/>
      <c r="R20" s="196"/>
      <c r="S20" s="196"/>
      <c r="T20" s="196"/>
      <c r="U20" s="196"/>
      <c r="V20" s="196"/>
      <c r="W20" s="196"/>
      <c r="X20" s="196"/>
    </row>
    <row r="21" spans="1:24" s="2" customFormat="1" ht="43.5" customHeight="1" thickTop="1" x14ac:dyDescent="0.3">
      <c r="A21" s="186"/>
      <c r="B21" s="111"/>
      <c r="C21" s="870" t="s">
        <v>242</v>
      </c>
      <c r="D21" s="871"/>
      <c r="E21" s="871"/>
      <c r="F21" s="871"/>
      <c r="G21" s="863" t="s">
        <v>547</v>
      </c>
      <c r="H21" s="863"/>
      <c r="I21" s="863"/>
      <c r="J21" s="864"/>
      <c r="K21" s="111"/>
      <c r="L21" s="111"/>
      <c r="M21" s="187"/>
      <c r="N21" s="196"/>
      <c r="O21" s="196"/>
      <c r="P21" s="196"/>
      <c r="Q21" s="196"/>
      <c r="R21" s="196"/>
      <c r="S21" s="196"/>
      <c r="T21" s="196"/>
      <c r="U21" s="196"/>
      <c r="V21" s="196"/>
      <c r="W21" s="196"/>
      <c r="X21" s="196"/>
    </row>
    <row r="22" spans="1:24" s="2" customFormat="1" ht="27" hidden="1" customHeight="1" x14ac:dyDescent="0.3">
      <c r="A22" s="186"/>
      <c r="B22" s="111"/>
      <c r="C22" s="256"/>
      <c r="D22" s="257"/>
      <c r="E22" s="257"/>
      <c r="F22" s="257"/>
      <c r="G22" s="711" t="s">
        <v>412</v>
      </c>
      <c r="H22" s="711"/>
      <c r="I22" s="711"/>
      <c r="J22" s="712"/>
      <c r="K22" s="111"/>
      <c r="L22" s="111"/>
      <c r="M22" s="187"/>
      <c r="N22" s="196"/>
      <c r="O22" s="196"/>
      <c r="P22" s="196"/>
      <c r="Q22" s="196"/>
      <c r="R22" s="196"/>
      <c r="S22" s="196"/>
      <c r="T22" s="196"/>
      <c r="U22" s="196"/>
      <c r="V22" s="196"/>
      <c r="W22" s="196"/>
      <c r="X22" s="196"/>
    </row>
    <row r="23" spans="1:24" s="2" customFormat="1" ht="27" hidden="1" customHeight="1" x14ac:dyDescent="0.3">
      <c r="A23" s="186"/>
      <c r="B23" s="111"/>
      <c r="C23" s="256"/>
      <c r="D23" s="257"/>
      <c r="E23" s="257"/>
      <c r="F23" s="257"/>
      <c r="G23" s="711" t="s">
        <v>413</v>
      </c>
      <c r="H23" s="711"/>
      <c r="I23" s="711"/>
      <c r="J23" s="712"/>
      <c r="K23" s="111"/>
      <c r="L23" s="111"/>
      <c r="M23" s="187"/>
      <c r="N23" s="196"/>
      <c r="O23" s="196"/>
      <c r="P23" s="196"/>
      <c r="Q23" s="196"/>
      <c r="R23" s="196"/>
      <c r="S23" s="196"/>
      <c r="T23" s="196"/>
      <c r="U23" s="196"/>
      <c r="V23" s="196"/>
      <c r="W23" s="196"/>
      <c r="X23" s="196"/>
    </row>
    <row r="24" spans="1:24" s="2" customFormat="1" ht="26.25" customHeight="1" x14ac:dyDescent="0.3">
      <c r="A24" s="186"/>
      <c r="B24" s="111"/>
      <c r="C24" s="717" t="s">
        <v>250</v>
      </c>
      <c r="D24" s="718"/>
      <c r="E24" s="718"/>
      <c r="F24" s="718"/>
      <c r="G24" s="711" t="s">
        <v>548</v>
      </c>
      <c r="H24" s="711"/>
      <c r="I24" s="711"/>
      <c r="J24" s="712"/>
      <c r="K24" s="111"/>
      <c r="L24" s="111"/>
      <c r="M24" s="187"/>
      <c r="N24" s="196"/>
      <c r="O24" s="196"/>
      <c r="P24" s="196"/>
      <c r="Q24" s="196"/>
      <c r="R24" s="196"/>
      <c r="S24" s="196"/>
      <c r="T24" s="196"/>
      <c r="U24" s="196"/>
      <c r="V24" s="196"/>
      <c r="W24" s="196"/>
      <c r="X24" s="196"/>
    </row>
    <row r="25" spans="1:24" s="2" customFormat="1" ht="26.25" hidden="1" customHeight="1" x14ac:dyDescent="0.3">
      <c r="A25" s="186"/>
      <c r="B25" s="111"/>
      <c r="C25" s="256"/>
      <c r="D25" s="257"/>
      <c r="E25" s="257"/>
      <c r="F25" s="257"/>
      <c r="G25" s="711" t="s">
        <v>414</v>
      </c>
      <c r="H25" s="711"/>
      <c r="I25" s="711"/>
      <c r="J25" s="712"/>
      <c r="K25" s="111"/>
      <c r="L25" s="111"/>
      <c r="M25" s="187"/>
      <c r="N25" s="196"/>
      <c r="O25" s="196"/>
      <c r="P25" s="196"/>
      <c r="Q25" s="196"/>
      <c r="R25" s="196"/>
      <c r="S25" s="196"/>
      <c r="T25" s="196"/>
      <c r="U25" s="196"/>
      <c r="V25" s="196"/>
      <c r="W25" s="196"/>
      <c r="X25" s="196"/>
    </row>
    <row r="26" spans="1:24" s="2" customFormat="1" ht="26.25" hidden="1" customHeight="1" x14ac:dyDescent="0.3">
      <c r="A26" s="186"/>
      <c r="B26" s="111"/>
      <c r="C26" s="256"/>
      <c r="D26" s="257"/>
      <c r="E26" s="257"/>
      <c r="F26" s="257"/>
      <c r="G26" s="711" t="s">
        <v>415</v>
      </c>
      <c r="H26" s="711"/>
      <c r="I26" s="711"/>
      <c r="J26" s="712"/>
      <c r="K26" s="111"/>
      <c r="L26" s="111"/>
      <c r="M26" s="187"/>
      <c r="N26" s="196"/>
      <c r="O26" s="196"/>
      <c r="P26" s="196"/>
      <c r="Q26" s="196"/>
      <c r="R26" s="196"/>
      <c r="S26" s="196"/>
      <c r="T26" s="196"/>
      <c r="U26" s="196"/>
      <c r="V26" s="196"/>
      <c r="W26" s="196"/>
      <c r="X26" s="196"/>
    </row>
    <row r="27" spans="1:24" s="2" customFormat="1" ht="26.25" customHeight="1" x14ac:dyDescent="0.3">
      <c r="A27" s="186"/>
      <c r="B27" s="111"/>
      <c r="C27" s="717" t="s">
        <v>237</v>
      </c>
      <c r="D27" s="718"/>
      <c r="E27" s="718"/>
      <c r="F27" s="718"/>
      <c r="G27" s="781">
        <f>G97</f>
        <v>30000</v>
      </c>
      <c r="H27" s="782"/>
      <c r="I27" s="782"/>
      <c r="J27" s="783"/>
      <c r="K27" s="111"/>
      <c r="L27" s="111"/>
      <c r="M27" s="187"/>
      <c r="N27" s="196"/>
      <c r="O27" s="196"/>
      <c r="P27" s="196"/>
      <c r="Q27" s="196"/>
      <c r="R27" s="196"/>
      <c r="S27" s="196"/>
      <c r="T27" s="196"/>
      <c r="U27" s="196"/>
      <c r="V27" s="196"/>
      <c r="W27" s="196"/>
      <c r="X27" s="196"/>
    </row>
    <row r="28" spans="1:24" s="2" customFormat="1" ht="26.25" customHeight="1" x14ac:dyDescent="0.3">
      <c r="A28" s="186"/>
      <c r="B28" s="111"/>
      <c r="C28" s="717" t="s">
        <v>238</v>
      </c>
      <c r="D28" s="718"/>
      <c r="E28" s="718"/>
      <c r="F28" s="718"/>
      <c r="G28" s="781">
        <f>G98</f>
        <v>29299.999999999996</v>
      </c>
      <c r="H28" s="722"/>
      <c r="I28" s="722"/>
      <c r="J28" s="723"/>
      <c r="K28" s="111"/>
      <c r="L28" s="111"/>
      <c r="M28" s="187"/>
      <c r="N28" s="196"/>
      <c r="O28" s="196"/>
      <c r="P28" s="196"/>
      <c r="Q28" s="196"/>
      <c r="R28" s="196"/>
      <c r="S28" s="196"/>
      <c r="T28" s="196"/>
      <c r="U28" s="196"/>
      <c r="V28" s="196"/>
      <c r="W28" s="196"/>
      <c r="X28" s="196"/>
    </row>
    <row r="29" spans="1:24" s="2" customFormat="1" ht="26.25" customHeight="1" x14ac:dyDescent="0.3">
      <c r="A29" s="186"/>
      <c r="B29" s="111"/>
      <c r="C29" s="728" t="s">
        <v>241</v>
      </c>
      <c r="D29" s="729"/>
      <c r="E29" s="729"/>
      <c r="F29" s="729"/>
      <c r="G29" s="729"/>
      <c r="H29" s="729"/>
      <c r="I29" s="729"/>
      <c r="J29" s="730"/>
      <c r="K29" s="111"/>
      <c r="L29" s="111"/>
      <c r="M29" s="187"/>
      <c r="N29" s="196"/>
      <c r="O29" s="196"/>
      <c r="P29" s="196"/>
      <c r="Q29" s="196"/>
      <c r="R29" s="196"/>
      <c r="S29" s="196"/>
      <c r="T29" s="196"/>
      <c r="U29" s="196"/>
      <c r="V29" s="196"/>
      <c r="W29" s="196"/>
      <c r="X29" s="196"/>
    </row>
    <row r="30" spans="1:24" s="2" customFormat="1" ht="26.25" customHeight="1" x14ac:dyDescent="0.3">
      <c r="A30" s="186"/>
      <c r="B30" s="111"/>
      <c r="C30" s="717" t="s">
        <v>340</v>
      </c>
      <c r="D30" s="718"/>
      <c r="E30" s="718"/>
      <c r="F30" s="718"/>
      <c r="G30" s="722" t="s">
        <v>552</v>
      </c>
      <c r="H30" s="722"/>
      <c r="I30" s="722"/>
      <c r="J30" s="723"/>
      <c r="K30" s="111"/>
      <c r="L30" s="111"/>
      <c r="M30" s="187"/>
      <c r="N30" s="196"/>
      <c r="O30" s="196"/>
      <c r="P30" s="196"/>
      <c r="Q30" s="196"/>
      <c r="R30" s="196"/>
      <c r="S30" s="196"/>
      <c r="T30" s="196"/>
      <c r="U30" s="196"/>
      <c r="V30" s="196"/>
      <c r="W30" s="196"/>
      <c r="X30" s="196"/>
    </row>
    <row r="31" spans="1:24" s="2" customFormat="1" ht="26.25" customHeight="1" x14ac:dyDescent="0.3">
      <c r="A31" s="186"/>
      <c r="B31" s="111"/>
      <c r="C31" s="717" t="s">
        <v>239</v>
      </c>
      <c r="D31" s="718"/>
      <c r="E31" s="718"/>
      <c r="F31" s="718"/>
      <c r="G31" s="722" t="s">
        <v>551</v>
      </c>
      <c r="H31" s="722"/>
      <c r="I31" s="722"/>
      <c r="J31" s="723"/>
      <c r="K31" s="111"/>
      <c r="L31" s="111"/>
      <c r="M31" s="187"/>
      <c r="N31" s="196"/>
      <c r="O31" s="196"/>
      <c r="P31" s="196"/>
      <c r="Q31" s="196"/>
      <c r="R31" s="196"/>
      <c r="S31" s="196"/>
      <c r="T31" s="196"/>
      <c r="U31" s="196"/>
      <c r="V31" s="196"/>
      <c r="W31" s="196"/>
      <c r="X31" s="196"/>
    </row>
    <row r="32" spans="1:24" s="2" customFormat="1" ht="26.25" hidden="1" customHeight="1" x14ac:dyDescent="0.3">
      <c r="A32" s="186"/>
      <c r="B32" s="111"/>
      <c r="C32" s="717" t="s">
        <v>478</v>
      </c>
      <c r="D32" s="718"/>
      <c r="E32" s="718"/>
      <c r="F32" s="718"/>
      <c r="G32" s="722" t="s">
        <v>550</v>
      </c>
      <c r="H32" s="722"/>
      <c r="I32" s="722"/>
      <c r="J32" s="723"/>
      <c r="K32" s="111"/>
      <c r="L32" s="111"/>
      <c r="M32" s="187"/>
      <c r="N32" s="196"/>
      <c r="O32" s="196"/>
      <c r="P32" s="196"/>
      <c r="Q32" s="196"/>
      <c r="R32" s="196"/>
      <c r="S32" s="196"/>
      <c r="T32" s="196"/>
      <c r="U32" s="196"/>
      <c r="V32" s="196"/>
      <c r="W32" s="196"/>
      <c r="X32" s="196"/>
    </row>
    <row r="33" spans="1:24" s="2" customFormat="1" ht="26.25" customHeight="1" thickBot="1" x14ac:dyDescent="0.35">
      <c r="A33" s="186"/>
      <c r="B33" s="111"/>
      <c r="C33" s="724" t="s">
        <v>240</v>
      </c>
      <c r="D33" s="725"/>
      <c r="E33" s="725"/>
      <c r="F33" s="725"/>
      <c r="G33" s="726" t="s">
        <v>549</v>
      </c>
      <c r="H33" s="726"/>
      <c r="I33" s="726"/>
      <c r="J33" s="727"/>
      <c r="K33" s="111"/>
      <c r="L33" s="111"/>
      <c r="M33" s="187"/>
      <c r="N33" s="196"/>
      <c r="O33" s="196"/>
      <c r="P33" s="196"/>
      <c r="Q33" s="196"/>
      <c r="R33" s="196"/>
      <c r="S33" s="196"/>
      <c r="T33" s="196"/>
      <c r="U33" s="196"/>
      <c r="V33" s="196"/>
      <c r="W33" s="196"/>
      <c r="X33" s="196"/>
    </row>
    <row r="34" spans="1:24" s="2" customFormat="1" ht="16.2" thickTop="1" x14ac:dyDescent="0.3">
      <c r="A34" s="186"/>
      <c r="B34" s="111"/>
      <c r="C34" s="111"/>
      <c r="D34" s="111"/>
      <c r="E34" s="111"/>
      <c r="F34" s="111"/>
      <c r="G34" s="111"/>
      <c r="H34" s="111"/>
      <c r="I34" s="111"/>
      <c r="J34" s="111"/>
      <c r="K34" s="111"/>
      <c r="L34" s="111"/>
      <c r="M34" s="187"/>
      <c r="N34" s="196"/>
      <c r="O34" s="196"/>
      <c r="P34" s="196"/>
      <c r="Q34" s="196"/>
      <c r="R34" s="196"/>
      <c r="S34" s="196"/>
      <c r="T34" s="196"/>
      <c r="U34" s="196"/>
      <c r="V34" s="196"/>
      <c r="W34" s="196"/>
      <c r="X34" s="196"/>
    </row>
    <row r="35" spans="1:24" s="2" customFormat="1" x14ac:dyDescent="0.3">
      <c r="A35" s="186"/>
      <c r="B35" s="111"/>
      <c r="C35" s="111"/>
      <c r="D35" s="111"/>
      <c r="E35" s="111"/>
      <c r="F35" s="111"/>
      <c r="G35" s="111"/>
      <c r="H35" s="111"/>
      <c r="I35" s="111"/>
      <c r="J35" s="111"/>
      <c r="K35" s="111"/>
      <c r="L35" s="111"/>
      <c r="M35" s="187"/>
      <c r="N35" s="196"/>
      <c r="O35" s="196"/>
      <c r="P35" s="196"/>
      <c r="Q35" s="196"/>
      <c r="R35" s="196"/>
      <c r="S35" s="196"/>
      <c r="T35" s="196"/>
      <c r="U35" s="196"/>
      <c r="V35" s="196"/>
      <c r="W35" s="196"/>
      <c r="X35" s="196"/>
    </row>
    <row r="36" spans="1:24" s="2" customFormat="1" x14ac:dyDescent="0.3">
      <c r="A36" s="186"/>
      <c r="B36" s="111"/>
      <c r="C36" s="111"/>
      <c r="D36" s="111"/>
      <c r="E36" s="111"/>
      <c r="F36" s="111"/>
      <c r="G36" s="111"/>
      <c r="H36" s="111"/>
      <c r="I36" s="111"/>
      <c r="J36" s="111"/>
      <c r="K36" s="111"/>
      <c r="L36" s="111"/>
      <c r="M36" s="187"/>
      <c r="N36" s="196"/>
      <c r="O36" s="196"/>
      <c r="P36" s="196"/>
      <c r="Q36" s="196"/>
      <c r="R36" s="196"/>
      <c r="S36" s="196"/>
      <c r="T36" s="196"/>
      <c r="U36" s="196"/>
      <c r="V36" s="196"/>
      <c r="W36" s="196"/>
      <c r="X36" s="196"/>
    </row>
    <row r="37" spans="1:24" s="2" customFormat="1" x14ac:dyDescent="0.3">
      <c r="A37" s="186"/>
      <c r="B37" s="111"/>
      <c r="C37" s="111"/>
      <c r="D37" s="111"/>
      <c r="E37" s="111"/>
      <c r="F37" s="111"/>
      <c r="G37" s="111"/>
      <c r="H37" s="111"/>
      <c r="I37" s="111"/>
      <c r="J37" s="111"/>
      <c r="K37" s="111"/>
      <c r="L37" s="111"/>
      <c r="M37" s="187"/>
      <c r="N37" s="196"/>
      <c r="O37" s="196"/>
      <c r="P37" s="196"/>
      <c r="Q37" s="196"/>
      <c r="R37" s="196"/>
      <c r="S37" s="196"/>
      <c r="T37" s="196"/>
      <c r="U37" s="196"/>
      <c r="V37" s="196"/>
      <c r="W37" s="196"/>
      <c r="X37" s="196"/>
    </row>
    <row r="38" spans="1:24" s="2" customFormat="1" x14ac:dyDescent="0.3">
      <c r="A38" s="186"/>
      <c r="B38" s="111"/>
      <c r="C38" s="111"/>
      <c r="D38" s="111"/>
      <c r="E38" s="111"/>
      <c r="F38" s="111"/>
      <c r="G38" s="111"/>
      <c r="H38" s="111"/>
      <c r="I38" s="111"/>
      <c r="J38" s="111"/>
      <c r="K38" s="111"/>
      <c r="L38" s="111"/>
      <c r="M38" s="187"/>
      <c r="N38" s="196"/>
      <c r="O38" s="220"/>
      <c r="P38" s="196"/>
      <c r="Q38" s="196"/>
      <c r="R38" s="196"/>
      <c r="S38" s="196"/>
      <c r="T38" s="196"/>
      <c r="U38" s="196"/>
      <c r="V38" s="196"/>
      <c r="W38" s="196"/>
      <c r="X38" s="197"/>
    </row>
    <row r="39" spans="1:24" s="2" customFormat="1" x14ac:dyDescent="0.3">
      <c r="A39" s="186"/>
      <c r="B39" s="111"/>
      <c r="C39" s="111"/>
      <c r="D39" s="111"/>
      <c r="E39" s="111"/>
      <c r="F39" s="111"/>
      <c r="G39" s="111"/>
      <c r="H39" s="111"/>
      <c r="I39" s="111"/>
      <c r="J39" s="111"/>
      <c r="K39" s="111"/>
      <c r="L39" s="111"/>
      <c r="M39" s="187"/>
      <c r="N39" s="196"/>
      <c r="O39" s="220"/>
      <c r="P39" s="196"/>
      <c r="Q39" s="196"/>
      <c r="R39" s="196"/>
      <c r="S39" s="196"/>
      <c r="T39" s="196"/>
      <c r="U39" s="196"/>
      <c r="V39" s="196"/>
      <c r="W39" s="196"/>
      <c r="X39" s="197"/>
    </row>
    <row r="40" spans="1:24" s="2" customFormat="1" ht="18" thickBot="1" x14ac:dyDescent="0.35">
      <c r="A40" s="755"/>
      <c r="B40" s="756"/>
      <c r="C40" s="756"/>
      <c r="D40" s="756"/>
      <c r="E40" s="756"/>
      <c r="F40" s="756"/>
      <c r="G40" s="756"/>
      <c r="H40" s="756"/>
      <c r="I40" s="756"/>
      <c r="J40" s="756"/>
      <c r="K40" s="756"/>
      <c r="L40" s="756"/>
      <c r="M40" s="757"/>
      <c r="N40" s="196"/>
      <c r="O40" s="196"/>
      <c r="P40" s="196"/>
      <c r="Q40" s="196"/>
      <c r="R40" s="196"/>
      <c r="S40" s="196"/>
      <c r="T40" s="196"/>
      <c r="U40" s="196"/>
      <c r="V40" s="196"/>
      <c r="W40" s="196"/>
      <c r="X40" s="196"/>
    </row>
    <row r="41" spans="1:24" s="2" customFormat="1" ht="18" thickTop="1" x14ac:dyDescent="0.3">
      <c r="A41" s="251"/>
      <c r="B41" s="251"/>
      <c r="C41" s="251"/>
      <c r="D41" s="251"/>
      <c r="E41" s="251"/>
      <c r="F41" s="251"/>
      <c r="G41" s="251"/>
      <c r="H41" s="251"/>
      <c r="I41" s="251"/>
      <c r="J41" s="251"/>
      <c r="K41" s="251"/>
      <c r="L41" s="251"/>
      <c r="M41" s="251"/>
      <c r="N41" s="196"/>
      <c r="O41" s="196"/>
      <c r="P41" s="196"/>
      <c r="Q41" s="196"/>
      <c r="R41" s="196"/>
      <c r="S41" s="196"/>
      <c r="T41" s="196"/>
      <c r="U41" s="196"/>
      <c r="V41" s="196"/>
      <c r="W41" s="196"/>
      <c r="X41" s="196"/>
    </row>
    <row r="43" spans="1:24" s="6" customFormat="1" ht="39" customHeight="1" x14ac:dyDescent="0.7">
      <c r="A43" s="716" t="s">
        <v>249</v>
      </c>
      <c r="B43" s="716"/>
      <c r="C43" s="716"/>
      <c r="D43" s="716"/>
      <c r="E43" s="716"/>
      <c r="F43" s="716"/>
      <c r="G43" s="716"/>
      <c r="H43" s="716"/>
      <c r="I43" s="716"/>
      <c r="J43" s="716"/>
      <c r="K43" s="716"/>
      <c r="L43" s="716"/>
      <c r="M43" s="716"/>
      <c r="N43" s="230"/>
      <c r="O43" s="230"/>
      <c r="P43" s="230"/>
      <c r="Q43" s="230"/>
      <c r="R43" s="230"/>
      <c r="S43" s="230"/>
      <c r="T43" s="230"/>
      <c r="U43" s="230"/>
      <c r="V43" s="230"/>
      <c r="W43" s="198"/>
      <c r="X43" s="198"/>
    </row>
    <row r="44" spans="1:24" s="6" customFormat="1" ht="18" x14ac:dyDescent="0.3">
      <c r="N44" s="230"/>
      <c r="O44" s="230"/>
      <c r="P44" s="230"/>
      <c r="Q44" s="230"/>
      <c r="R44" s="230"/>
      <c r="S44" s="230"/>
      <c r="T44" s="230"/>
      <c r="U44" s="230"/>
      <c r="V44" s="230"/>
      <c r="W44" s="198"/>
      <c r="X44" s="198"/>
    </row>
    <row r="45" spans="1:24" s="6" customFormat="1" ht="18" x14ac:dyDescent="0.3">
      <c r="N45" s="230"/>
      <c r="O45" s="230"/>
      <c r="P45" s="230"/>
      <c r="Q45" s="230"/>
      <c r="R45" s="230"/>
      <c r="S45" s="230"/>
      <c r="T45" s="230"/>
      <c r="U45" s="230"/>
      <c r="V45" s="230"/>
      <c r="W45" s="198"/>
      <c r="X45" s="198"/>
    </row>
    <row r="46" spans="1:24" s="6" customFormat="1" ht="18" x14ac:dyDescent="0.3">
      <c r="N46" s="230"/>
      <c r="O46" s="230"/>
      <c r="P46" s="230"/>
      <c r="Q46" s="230"/>
      <c r="R46" s="230"/>
      <c r="S46" s="230"/>
      <c r="T46" s="230"/>
      <c r="U46" s="230"/>
      <c r="V46" s="230"/>
      <c r="W46" s="198"/>
      <c r="X46" s="198"/>
    </row>
    <row r="47" spans="1:24" s="6" customFormat="1" ht="18" x14ac:dyDescent="0.3">
      <c r="B47" s="107" t="s">
        <v>1</v>
      </c>
      <c r="N47" s="230"/>
      <c r="O47" s="230"/>
      <c r="P47" s="230"/>
      <c r="Q47" s="230"/>
      <c r="R47" s="230"/>
      <c r="S47" s="230"/>
      <c r="T47" s="230"/>
      <c r="U47" s="230"/>
      <c r="V47" s="230"/>
      <c r="W47" s="198"/>
      <c r="X47" s="198"/>
    </row>
    <row r="48" spans="1:24" s="6" customFormat="1" ht="18" x14ac:dyDescent="0.3">
      <c r="N48" s="230"/>
      <c r="O48" s="230"/>
      <c r="P48" s="230"/>
      <c r="Q48" s="230"/>
      <c r="R48" s="230"/>
      <c r="S48" s="230"/>
      <c r="T48" s="230"/>
      <c r="U48" s="230"/>
      <c r="V48" s="230"/>
      <c r="W48" s="198"/>
      <c r="X48" s="198"/>
    </row>
    <row r="49" spans="2:24" s="6" customFormat="1" ht="18" x14ac:dyDescent="0.3">
      <c r="B49" s="107" t="s">
        <v>2</v>
      </c>
      <c r="N49" s="230"/>
      <c r="O49" s="230"/>
      <c r="P49" s="230"/>
      <c r="Q49" s="230"/>
      <c r="R49" s="230"/>
      <c r="S49" s="230"/>
      <c r="T49" s="230"/>
      <c r="U49" s="230"/>
      <c r="V49" s="230"/>
      <c r="W49" s="198"/>
      <c r="X49" s="198"/>
    </row>
    <row r="50" spans="2:24" s="6" customFormat="1" ht="18" x14ac:dyDescent="0.3">
      <c r="B50" s="107"/>
      <c r="N50" s="230"/>
      <c r="O50" s="230"/>
      <c r="P50" s="230"/>
      <c r="Q50" s="230"/>
      <c r="R50" s="230"/>
      <c r="S50" s="230"/>
      <c r="T50" s="230"/>
      <c r="U50" s="230"/>
      <c r="V50" s="230"/>
      <c r="W50" s="198"/>
      <c r="X50" s="198"/>
    </row>
    <row r="51" spans="2:24" s="6" customFormat="1" ht="18" x14ac:dyDescent="0.3">
      <c r="C51" s="108" t="s">
        <v>243</v>
      </c>
      <c r="N51" s="230"/>
      <c r="O51" s="230"/>
      <c r="P51" s="230"/>
      <c r="Q51" s="230"/>
      <c r="R51" s="230"/>
      <c r="S51" s="230"/>
      <c r="T51" s="230"/>
      <c r="U51" s="230"/>
      <c r="V51" s="230"/>
      <c r="W51" s="198"/>
      <c r="X51" s="198"/>
    </row>
    <row r="52" spans="2:24" s="6" customFormat="1" ht="18" x14ac:dyDescent="0.35">
      <c r="C52" s="109"/>
      <c r="N52" s="230"/>
      <c r="O52" s="230"/>
      <c r="P52" s="230"/>
      <c r="Q52" s="230"/>
      <c r="R52" s="230"/>
      <c r="S52" s="230"/>
      <c r="T52" s="230"/>
      <c r="U52" s="230"/>
      <c r="V52" s="230"/>
      <c r="W52" s="198"/>
      <c r="X52" s="198"/>
    </row>
    <row r="53" spans="2:24" s="6" customFormat="1" ht="18" x14ac:dyDescent="0.3">
      <c r="C53" s="108" t="s">
        <v>244</v>
      </c>
      <c r="N53" s="230"/>
      <c r="O53" s="230"/>
      <c r="P53" s="230"/>
      <c r="Q53" s="230"/>
      <c r="R53" s="230"/>
      <c r="S53" s="230"/>
      <c r="T53" s="230"/>
      <c r="U53" s="230"/>
      <c r="V53" s="230"/>
      <c r="W53" s="198"/>
      <c r="X53" s="198"/>
    </row>
    <row r="54" spans="2:24" s="6" customFormat="1" ht="18" x14ac:dyDescent="0.35">
      <c r="C54" s="109"/>
      <c r="N54" s="230"/>
      <c r="O54" s="230"/>
      <c r="P54" s="230"/>
      <c r="Q54" s="230"/>
      <c r="R54" s="230"/>
      <c r="S54" s="230"/>
      <c r="T54" s="230"/>
      <c r="U54" s="230"/>
      <c r="V54" s="230"/>
      <c r="W54" s="198"/>
      <c r="X54" s="198"/>
    </row>
    <row r="55" spans="2:24" s="6" customFormat="1" ht="18" x14ac:dyDescent="0.3">
      <c r="C55" s="108" t="s">
        <v>245</v>
      </c>
      <c r="N55" s="230"/>
      <c r="O55" s="230"/>
      <c r="P55" s="230"/>
      <c r="Q55" s="230"/>
      <c r="R55" s="230"/>
      <c r="S55" s="230"/>
      <c r="T55" s="230"/>
      <c r="U55" s="230"/>
      <c r="V55" s="230"/>
      <c r="W55" s="198"/>
      <c r="X55" s="198"/>
    </row>
    <row r="56" spans="2:24" s="6" customFormat="1" ht="18" x14ac:dyDescent="0.35">
      <c r="C56" s="109"/>
      <c r="N56" s="230"/>
      <c r="O56" s="230"/>
      <c r="P56" s="230"/>
      <c r="Q56" s="230"/>
      <c r="R56" s="230"/>
      <c r="S56" s="230"/>
      <c r="T56" s="230"/>
      <c r="U56" s="230"/>
      <c r="V56" s="230"/>
      <c r="W56" s="198"/>
      <c r="X56" s="198"/>
    </row>
    <row r="57" spans="2:24" s="6" customFormat="1" ht="18" x14ac:dyDescent="0.3">
      <c r="C57" s="108" t="s">
        <v>246</v>
      </c>
      <c r="N57" s="230"/>
      <c r="O57" s="230"/>
      <c r="P57" s="230"/>
      <c r="Q57" s="230"/>
      <c r="R57" s="230"/>
      <c r="S57" s="230"/>
      <c r="T57" s="230"/>
      <c r="U57" s="230"/>
      <c r="V57" s="230"/>
      <c r="W57" s="198"/>
      <c r="X57" s="198"/>
    </row>
    <row r="58" spans="2:24" s="6" customFormat="1" ht="18" x14ac:dyDescent="0.35">
      <c r="C58" s="109"/>
      <c r="N58" s="230"/>
      <c r="O58" s="230"/>
      <c r="P58" s="230"/>
      <c r="Q58" s="230"/>
      <c r="R58" s="230"/>
      <c r="S58" s="230"/>
      <c r="T58" s="230"/>
      <c r="U58" s="230"/>
      <c r="V58" s="230"/>
      <c r="W58" s="198"/>
      <c r="X58" s="198"/>
    </row>
    <row r="59" spans="2:24" s="6" customFormat="1" ht="18" x14ac:dyDescent="0.3">
      <c r="C59" s="108" t="s">
        <v>247</v>
      </c>
      <c r="N59" s="230"/>
      <c r="O59" s="230"/>
      <c r="P59" s="230"/>
      <c r="Q59" s="230"/>
      <c r="R59" s="230"/>
      <c r="S59" s="230"/>
      <c r="T59" s="230"/>
      <c r="U59" s="230"/>
      <c r="V59" s="230"/>
      <c r="W59" s="198"/>
      <c r="X59" s="198"/>
    </row>
    <row r="60" spans="2:24" s="6" customFormat="1" ht="18" x14ac:dyDescent="0.35">
      <c r="C60" s="109"/>
      <c r="N60" s="230"/>
      <c r="O60" s="230"/>
      <c r="P60" s="230"/>
      <c r="Q60" s="230"/>
      <c r="R60" s="230"/>
      <c r="S60" s="230"/>
      <c r="T60" s="230"/>
      <c r="U60" s="230"/>
      <c r="V60" s="230"/>
      <c r="W60" s="198"/>
      <c r="X60" s="198"/>
    </row>
    <row r="61" spans="2:24" s="6" customFormat="1" ht="18" x14ac:dyDescent="0.3">
      <c r="C61" s="108" t="s">
        <v>248</v>
      </c>
      <c r="N61" s="230"/>
      <c r="O61" s="230"/>
      <c r="P61" s="230"/>
      <c r="Q61" s="230"/>
      <c r="R61" s="230"/>
      <c r="S61" s="230"/>
      <c r="T61" s="230"/>
      <c r="U61" s="230"/>
      <c r="V61" s="230"/>
      <c r="W61" s="198"/>
      <c r="X61" s="198"/>
    </row>
    <row r="62" spans="2:24" s="6" customFormat="1" ht="18" x14ac:dyDescent="0.3">
      <c r="N62" s="230"/>
      <c r="O62" s="230"/>
      <c r="P62" s="230"/>
      <c r="Q62" s="230"/>
      <c r="R62" s="230"/>
      <c r="S62" s="230"/>
      <c r="T62" s="230"/>
      <c r="U62" s="230"/>
      <c r="V62" s="230"/>
      <c r="W62" s="198"/>
      <c r="X62" s="198"/>
    </row>
    <row r="63" spans="2:24" s="6" customFormat="1" ht="18" x14ac:dyDescent="0.3">
      <c r="B63" s="107" t="s">
        <v>3</v>
      </c>
      <c r="N63" s="230"/>
      <c r="O63" s="230"/>
      <c r="P63" s="230"/>
      <c r="Q63" s="230"/>
      <c r="R63" s="230"/>
      <c r="S63" s="230"/>
      <c r="T63" s="230"/>
      <c r="U63" s="230"/>
      <c r="V63" s="230"/>
      <c r="W63" s="198"/>
      <c r="X63" s="198"/>
    </row>
    <row r="64" spans="2:24" s="6" customFormat="1" ht="18" x14ac:dyDescent="0.3">
      <c r="N64" s="230"/>
      <c r="O64" s="230"/>
      <c r="P64" s="230"/>
      <c r="Q64" s="230"/>
      <c r="R64" s="230"/>
      <c r="S64" s="230"/>
      <c r="T64" s="230"/>
      <c r="U64" s="230"/>
      <c r="V64" s="230"/>
      <c r="W64" s="198"/>
      <c r="X64" s="198"/>
    </row>
    <row r="65" spans="1:30" s="6" customFormat="1" ht="18" x14ac:dyDescent="0.3">
      <c r="B65" s="107" t="s">
        <v>4</v>
      </c>
      <c r="N65" s="230"/>
      <c r="O65" s="230"/>
      <c r="P65" s="230"/>
      <c r="Q65" s="230"/>
      <c r="R65" s="230"/>
      <c r="S65" s="230"/>
      <c r="T65" s="230"/>
      <c r="U65" s="230"/>
      <c r="V65" s="230"/>
      <c r="W65" s="198"/>
      <c r="X65" s="198"/>
    </row>
    <row r="66" spans="1:30" s="6" customFormat="1" ht="18" x14ac:dyDescent="0.3">
      <c r="N66" s="230"/>
      <c r="O66" s="230"/>
      <c r="P66" s="230"/>
      <c r="Q66" s="230"/>
      <c r="R66" s="230"/>
      <c r="S66" s="230"/>
      <c r="T66" s="230"/>
      <c r="U66" s="230"/>
      <c r="V66" s="230"/>
      <c r="W66" s="198"/>
      <c r="X66" s="198"/>
    </row>
    <row r="67" spans="1:30" s="6" customFormat="1" ht="18" x14ac:dyDescent="0.3">
      <c r="B67" s="107" t="s">
        <v>5</v>
      </c>
      <c r="N67" s="230"/>
      <c r="O67" s="230"/>
      <c r="P67" s="230"/>
      <c r="Q67" s="230"/>
      <c r="R67" s="230"/>
      <c r="S67" s="230"/>
      <c r="T67" s="230"/>
      <c r="U67" s="230"/>
      <c r="V67" s="230"/>
      <c r="W67" s="198"/>
      <c r="X67" s="198"/>
    </row>
    <row r="68" spans="1:30" s="6" customFormat="1" ht="18" x14ac:dyDescent="0.3">
      <c r="N68" s="230"/>
      <c r="O68" s="230"/>
      <c r="P68" s="230"/>
      <c r="Q68" s="230"/>
      <c r="R68" s="230"/>
      <c r="S68" s="230"/>
      <c r="T68" s="230"/>
      <c r="U68" s="230"/>
      <c r="V68" s="230"/>
      <c r="W68" s="198"/>
      <c r="X68" s="198"/>
    </row>
    <row r="69" spans="1:30" s="6" customFormat="1" ht="18" x14ac:dyDescent="0.3">
      <c r="C69" s="108" t="s">
        <v>6</v>
      </c>
      <c r="N69" s="230"/>
      <c r="O69" s="230"/>
      <c r="P69" s="230"/>
      <c r="Q69" s="230"/>
      <c r="R69" s="230"/>
      <c r="S69" s="230"/>
      <c r="T69" s="230"/>
      <c r="U69" s="230"/>
      <c r="V69" s="230"/>
      <c r="W69" s="198"/>
      <c r="X69" s="198"/>
    </row>
    <row r="70" spans="1:30" s="6" customFormat="1" ht="17.25" customHeight="1" x14ac:dyDescent="0.3">
      <c r="C70" s="108" t="s">
        <v>7</v>
      </c>
      <c r="N70" s="230"/>
      <c r="O70" s="230"/>
      <c r="P70" s="230"/>
      <c r="Q70" s="230"/>
      <c r="R70" s="230"/>
      <c r="S70" s="230"/>
      <c r="T70" s="230"/>
      <c r="U70" s="230"/>
      <c r="V70" s="230"/>
      <c r="W70" s="198"/>
      <c r="X70" s="198"/>
    </row>
    <row r="74" spans="1:30" ht="15.6" customHeight="1" x14ac:dyDescent="0.3">
      <c r="A74" s="9"/>
      <c r="B74" s="7"/>
      <c r="C74" s="7"/>
      <c r="D74" s="7"/>
      <c r="E74" s="7"/>
      <c r="F74" s="7"/>
      <c r="G74" s="7"/>
      <c r="H74" s="7"/>
      <c r="I74" s="7"/>
      <c r="J74" s="7"/>
      <c r="K74" s="7"/>
      <c r="L74" s="7"/>
      <c r="M74" s="7"/>
      <c r="W74" s="195"/>
      <c r="X74" s="195"/>
      <c r="Y74" s="8"/>
      <c r="Z74" s="8"/>
      <c r="AA74" s="8"/>
      <c r="AB74" s="8"/>
      <c r="AC74" s="8"/>
      <c r="AD74" s="8"/>
    </row>
    <row r="75" spans="1:30" ht="15.6" customHeight="1" x14ac:dyDescent="0.3">
      <c r="A75" s="719" t="s">
        <v>8</v>
      </c>
      <c r="B75" s="719"/>
      <c r="C75" s="719"/>
      <c r="D75" s="719"/>
      <c r="E75" s="719"/>
      <c r="F75" s="719"/>
      <c r="G75" s="719"/>
      <c r="H75" s="719"/>
      <c r="I75" s="719"/>
      <c r="J75" s="719"/>
      <c r="K75" s="719"/>
      <c r="L75" s="719"/>
      <c r="M75" s="719"/>
      <c r="W75" s="195"/>
      <c r="X75" s="195"/>
      <c r="Y75" s="8"/>
      <c r="Z75" s="8"/>
      <c r="AA75" s="8"/>
      <c r="AB75" s="8"/>
      <c r="AC75" s="8"/>
      <c r="AD75" s="8"/>
    </row>
    <row r="76" spans="1:30" ht="15.6" customHeight="1" x14ac:dyDescent="0.3">
      <c r="A76" s="9"/>
      <c r="G76" s="7"/>
      <c r="H76" s="7"/>
      <c r="I76" s="7"/>
      <c r="J76" s="7"/>
      <c r="K76" s="7"/>
      <c r="L76" s="7"/>
      <c r="M76" s="7"/>
      <c r="W76" s="195"/>
      <c r="X76" s="195"/>
      <c r="Y76" s="8"/>
      <c r="Z76" s="8"/>
      <c r="AA76" s="8"/>
      <c r="AB76" s="8"/>
      <c r="AC76" s="8"/>
      <c r="AD76" s="8"/>
    </row>
    <row r="77" spans="1:30" ht="15.6" customHeight="1" x14ac:dyDescent="0.3">
      <c r="A77" s="110" t="s">
        <v>341</v>
      </c>
      <c r="W77" s="195"/>
      <c r="X77" s="195"/>
      <c r="Y77" s="8"/>
      <c r="Z77" s="8"/>
      <c r="AA77" s="8"/>
      <c r="AB77" s="8"/>
      <c r="AC77" s="8"/>
      <c r="AD77" s="8"/>
    </row>
    <row r="78" spans="1:30" ht="15.6" customHeight="1" x14ac:dyDescent="0.3">
      <c r="A78" s="3"/>
      <c r="W78" s="195"/>
      <c r="X78" s="195"/>
      <c r="Y78" s="8"/>
      <c r="Z78" s="8"/>
      <c r="AA78" s="8"/>
      <c r="AB78" s="8"/>
      <c r="AC78" s="8"/>
      <c r="AD78" s="8"/>
    </row>
    <row r="79" spans="1:30" ht="33.75" customHeight="1" x14ac:dyDescent="0.3">
      <c r="A79" s="4"/>
      <c r="B79" s="721" t="s">
        <v>9</v>
      </c>
      <c r="C79" s="721"/>
      <c r="D79" s="721"/>
      <c r="E79" s="720" t="str">
        <f>G21</f>
        <v>Mr. Ahmed Bouirdne</v>
      </c>
      <c r="F79" s="720"/>
      <c r="G79" s="720"/>
      <c r="H79" s="720"/>
      <c r="W79" s="195"/>
      <c r="X79" s="195"/>
      <c r="Y79" s="8"/>
      <c r="Z79" s="8"/>
      <c r="AA79" s="8"/>
      <c r="AB79" s="8"/>
      <c r="AC79" s="8"/>
      <c r="AD79" s="8"/>
    </row>
    <row r="80" spans="1:30" ht="21" customHeight="1" x14ac:dyDescent="0.3">
      <c r="A80" s="4"/>
      <c r="B80" s="721" t="s">
        <v>10</v>
      </c>
      <c r="C80" s="721"/>
      <c r="D80" s="721"/>
      <c r="E80" s="720" t="str">
        <f>G24</f>
        <v>JD54766</v>
      </c>
      <c r="F80" s="720"/>
      <c r="G80" s="720"/>
      <c r="H80" s="720"/>
      <c r="W80" s="195"/>
      <c r="X80" s="195"/>
      <c r="Y80" s="8"/>
      <c r="Z80" s="8"/>
      <c r="AA80" s="8"/>
      <c r="AB80" s="8"/>
      <c r="AC80" s="8"/>
      <c r="AD80" s="8"/>
    </row>
    <row r="81" spans="1:30" ht="21" hidden="1" customHeight="1" x14ac:dyDescent="0.3">
      <c r="A81" s="4"/>
      <c r="B81" s="721" t="s">
        <v>9</v>
      </c>
      <c r="C81" s="721"/>
      <c r="D81" s="721"/>
      <c r="E81" s="720" t="str">
        <f>G22</f>
        <v>Mr. Mostapha Zoubaa</v>
      </c>
      <c r="F81" s="720"/>
      <c r="G81" s="720"/>
      <c r="H81" s="720"/>
      <c r="W81" s="195"/>
      <c r="X81" s="195"/>
      <c r="Y81" s="8"/>
      <c r="Z81" s="8"/>
      <c r="AA81" s="8"/>
      <c r="AB81" s="8"/>
      <c r="AC81" s="8"/>
      <c r="AD81" s="8"/>
    </row>
    <row r="82" spans="1:30" ht="21" hidden="1" customHeight="1" x14ac:dyDescent="0.3">
      <c r="A82" s="4"/>
      <c r="B82" s="721" t="s">
        <v>10</v>
      </c>
      <c r="C82" s="721"/>
      <c r="D82" s="721"/>
      <c r="E82" s="720" t="str">
        <f>G25</f>
        <v>LF27997</v>
      </c>
      <c r="F82" s="720"/>
      <c r="G82" s="720"/>
      <c r="H82" s="720"/>
      <c r="W82" s="195"/>
      <c r="X82" s="195"/>
      <c r="Y82" s="8"/>
      <c r="Z82" s="8"/>
      <c r="AA82" s="8"/>
      <c r="AB82" s="8"/>
      <c r="AC82" s="8"/>
      <c r="AD82" s="8"/>
    </row>
    <row r="83" spans="1:30" ht="21" hidden="1" customHeight="1" x14ac:dyDescent="0.3">
      <c r="A83" s="4"/>
      <c r="B83" s="721" t="s">
        <v>9</v>
      </c>
      <c r="C83" s="721"/>
      <c r="D83" s="721"/>
      <c r="E83" s="720" t="str">
        <f>G23</f>
        <v>Mme. Fatima Zoubaa</v>
      </c>
      <c r="F83" s="720"/>
      <c r="G83" s="720"/>
      <c r="H83" s="720"/>
      <c r="W83" s="195"/>
      <c r="X83" s="195"/>
      <c r="Y83" s="8"/>
      <c r="Z83" s="8"/>
      <c r="AA83" s="8"/>
      <c r="AB83" s="8"/>
      <c r="AC83" s="8"/>
      <c r="AD83" s="8"/>
    </row>
    <row r="84" spans="1:30" ht="21" hidden="1" customHeight="1" x14ac:dyDescent="0.3">
      <c r="A84" s="4"/>
      <c r="B84" s="721" t="s">
        <v>10</v>
      </c>
      <c r="C84" s="721"/>
      <c r="D84" s="721"/>
      <c r="E84" s="720" t="str">
        <f>G26</f>
        <v>S649496</v>
      </c>
      <c r="F84" s="720"/>
      <c r="G84" s="720"/>
      <c r="H84" s="720"/>
      <c r="W84" s="195"/>
      <c r="X84" s="195"/>
      <c r="Y84" s="8"/>
      <c r="Z84" s="8"/>
      <c r="AA84" s="8"/>
      <c r="AB84" s="8"/>
      <c r="AC84" s="8"/>
      <c r="AD84" s="8"/>
    </row>
    <row r="85" spans="1:30" ht="21" customHeight="1" x14ac:dyDescent="0.3">
      <c r="A85" s="4"/>
      <c r="B85" s="721" t="s">
        <v>11</v>
      </c>
      <c r="C85" s="721"/>
      <c r="D85" s="721"/>
      <c r="E85" s="732" t="s">
        <v>553</v>
      </c>
      <c r="F85" s="732"/>
      <c r="G85" s="732"/>
      <c r="H85" s="732"/>
      <c r="I85" s="2"/>
      <c r="W85" s="195"/>
      <c r="X85" s="195"/>
      <c r="Y85" s="8"/>
      <c r="Z85" s="8"/>
      <c r="AA85" s="8"/>
      <c r="AB85" s="8"/>
      <c r="AC85" s="8"/>
      <c r="AD85" s="8"/>
    </row>
    <row r="86" spans="1:30" ht="12.75" customHeight="1" x14ac:dyDescent="0.3">
      <c r="A86" s="4"/>
      <c r="B86" s="12"/>
      <c r="C86" s="12"/>
      <c r="D86" s="13"/>
      <c r="E86" s="13"/>
      <c r="F86" s="13"/>
      <c r="I86" s="2"/>
      <c r="J86" s="2"/>
      <c r="K86" s="2"/>
      <c r="L86" s="3"/>
      <c r="M86" s="3"/>
      <c r="W86" s="195"/>
      <c r="X86" s="195"/>
      <c r="Y86" s="8"/>
      <c r="Z86" s="8"/>
      <c r="AA86" s="8"/>
      <c r="AB86" s="8"/>
      <c r="AC86" s="8"/>
      <c r="AD86" s="8"/>
    </row>
    <row r="87" spans="1:30" ht="19.5" customHeight="1" x14ac:dyDescent="0.3">
      <c r="A87" s="4"/>
      <c r="B87" s="784" t="s">
        <v>12</v>
      </c>
      <c r="C87" s="784"/>
      <c r="D87" s="784"/>
      <c r="E87" s="784"/>
      <c r="F87" s="784"/>
      <c r="G87" s="784"/>
      <c r="H87" s="784"/>
      <c r="I87" s="148"/>
      <c r="J87" s="148"/>
      <c r="K87" s="2"/>
      <c r="L87" s="3"/>
      <c r="M87" s="3"/>
    </row>
    <row r="88" spans="1:30" ht="19.5" customHeight="1" x14ac:dyDescent="0.3">
      <c r="A88" s="4"/>
      <c r="B88" s="721" t="s">
        <v>13</v>
      </c>
      <c r="C88" s="721"/>
      <c r="D88" s="721"/>
      <c r="E88" s="754" t="str">
        <f>G30</f>
        <v>Toufgnit</v>
      </c>
      <c r="F88" s="754"/>
      <c r="G88" s="754"/>
      <c r="H88" s="754"/>
      <c r="I88" s="96"/>
    </row>
    <row r="89" spans="1:30" ht="19.5" customHeight="1" x14ac:dyDescent="0.3">
      <c r="A89" s="4"/>
      <c r="B89" s="721" t="s">
        <v>381</v>
      </c>
      <c r="C89" s="721"/>
      <c r="D89" s="721"/>
      <c r="E89" s="754" t="str">
        <f>G31</f>
        <v xml:space="preserve">Sidi H’Sain Ou Ali </v>
      </c>
      <c r="F89" s="754"/>
      <c r="G89" s="754"/>
      <c r="H89" s="754"/>
      <c r="I89" s="2"/>
    </row>
    <row r="90" spans="1:30" ht="18.75" hidden="1" customHeight="1" x14ac:dyDescent="0.3">
      <c r="A90" s="4"/>
      <c r="B90" s="721" t="s">
        <v>14</v>
      </c>
      <c r="C90" s="721"/>
      <c r="D90" s="721"/>
      <c r="E90" s="865" t="str">
        <f>G32</f>
        <v>Ifni</v>
      </c>
      <c r="F90" s="866"/>
      <c r="G90" s="866"/>
      <c r="H90" s="867"/>
      <c r="I90" s="2"/>
    </row>
    <row r="91" spans="1:30" ht="18.75" customHeight="1" x14ac:dyDescent="0.3">
      <c r="A91" s="4"/>
      <c r="B91" s="721" t="s">
        <v>15</v>
      </c>
      <c r="C91" s="721"/>
      <c r="D91" s="721"/>
      <c r="E91" s="754" t="str">
        <f>G33</f>
        <v>Sidi Ifni</v>
      </c>
      <c r="F91" s="754"/>
      <c r="G91" s="754"/>
      <c r="H91" s="754"/>
      <c r="I91" s="2"/>
    </row>
    <row r="92" spans="1:30" ht="15.6" customHeight="1" x14ac:dyDescent="0.3">
      <c r="A92" s="4"/>
      <c r="B92" s="14"/>
      <c r="C92" s="10"/>
      <c r="D92" s="15"/>
      <c r="E92" s="15"/>
      <c r="F92" s="15"/>
      <c r="G92" s="10"/>
      <c r="H92" s="4"/>
      <c r="I92" s="2"/>
      <c r="J92" s="2"/>
      <c r="K92" s="2"/>
      <c r="L92" s="3"/>
      <c r="M92" s="3"/>
    </row>
    <row r="93" spans="1:30" ht="15.6" customHeight="1" x14ac:dyDescent="0.3">
      <c r="A93" s="110" t="s">
        <v>16</v>
      </c>
      <c r="B93" s="110"/>
      <c r="C93" s="110"/>
      <c r="D93" s="110"/>
      <c r="E93" s="110"/>
    </row>
    <row r="94" spans="1:30" ht="15.6" customHeight="1" x14ac:dyDescent="0.3">
      <c r="A94" s="17" t="s">
        <v>17</v>
      </c>
      <c r="G94" s="3"/>
      <c r="H94" s="3"/>
      <c r="I94" s="3"/>
      <c r="J94" s="3"/>
      <c r="K94" s="3"/>
    </row>
    <row r="95" spans="1:30" ht="15.6" customHeight="1" x14ac:dyDescent="0.3">
      <c r="A95" s="18" t="s">
        <v>18</v>
      </c>
      <c r="G95" s="3"/>
      <c r="H95" s="3"/>
      <c r="I95" s="3"/>
      <c r="J95" s="3"/>
      <c r="K95" s="3"/>
      <c r="W95" s="195"/>
      <c r="X95" s="195"/>
      <c r="Y95" s="8"/>
      <c r="Z95" s="8"/>
      <c r="AA95" s="8"/>
      <c r="AB95" s="8"/>
      <c r="AC95" s="8"/>
      <c r="AD95" s="8"/>
    </row>
    <row r="96" spans="1:30" ht="15.6" customHeight="1" thickBot="1" x14ac:dyDescent="0.35">
      <c r="A96" s="18"/>
      <c r="G96" s="3"/>
      <c r="H96" s="3"/>
      <c r="I96" s="3"/>
      <c r="J96" s="3"/>
      <c r="K96" s="3"/>
      <c r="W96" s="195"/>
      <c r="X96" s="195"/>
      <c r="Y96" s="8"/>
      <c r="Z96" s="8"/>
      <c r="AA96" s="8"/>
      <c r="AB96" s="8"/>
      <c r="AC96" s="8"/>
      <c r="AD96" s="8"/>
    </row>
    <row r="97" spans="1:30" ht="21.75" customHeight="1" thickTop="1" thickBot="1" x14ac:dyDescent="0.35">
      <c r="B97" s="809" t="s">
        <v>19</v>
      </c>
      <c r="C97" s="810"/>
      <c r="D97" s="810"/>
      <c r="E97" s="810"/>
      <c r="F97" s="810"/>
      <c r="G97" s="731">
        <v>30000</v>
      </c>
      <c r="H97" s="731"/>
      <c r="I97" s="731"/>
      <c r="W97" s="195"/>
      <c r="X97" s="195"/>
      <c r="Y97" s="8"/>
      <c r="Z97" s="8"/>
      <c r="AA97" s="8"/>
      <c r="AB97" s="8"/>
      <c r="AC97" s="8"/>
      <c r="AD97" s="8"/>
    </row>
    <row r="98" spans="1:30" ht="21.75" customHeight="1" thickTop="1" thickBot="1" x14ac:dyDescent="0.35">
      <c r="B98" s="751" t="s">
        <v>20</v>
      </c>
      <c r="C98" s="752"/>
      <c r="D98" s="752"/>
      <c r="E98" s="752"/>
      <c r="F98" s="753"/>
      <c r="G98" s="815">
        <f>SUM(E101:G102)*10000</f>
        <v>29299.999999999996</v>
      </c>
      <c r="H98" s="815"/>
      <c r="I98" s="815"/>
      <c r="W98" s="195"/>
      <c r="X98" s="195"/>
      <c r="Y98" s="8"/>
      <c r="Z98" s="8"/>
      <c r="AA98" s="8"/>
      <c r="AB98" s="8"/>
      <c r="AC98" s="8"/>
      <c r="AD98" s="8"/>
    </row>
    <row r="99" spans="1:30" ht="15.75" customHeight="1" thickTop="1" x14ac:dyDescent="0.3">
      <c r="A99" s="3"/>
      <c r="B99" s="3"/>
      <c r="C99" s="3"/>
      <c r="D99" s="3"/>
      <c r="E99" s="3"/>
      <c r="W99" s="195"/>
      <c r="X99" s="195"/>
      <c r="Y99" s="8"/>
      <c r="Z99" s="8"/>
      <c r="AA99" s="8"/>
      <c r="AB99" s="8"/>
      <c r="AC99" s="8"/>
      <c r="AD99" s="8"/>
    </row>
    <row r="100" spans="1:30" ht="21.75" customHeight="1" x14ac:dyDescent="0.3">
      <c r="A100" s="21"/>
      <c r="B100" s="715" t="s">
        <v>21</v>
      </c>
      <c r="C100" s="715"/>
      <c r="D100" s="715"/>
      <c r="E100" s="715" t="s">
        <v>22</v>
      </c>
      <c r="F100" s="715"/>
      <c r="G100" s="715"/>
      <c r="H100" s="402" t="s">
        <v>23</v>
      </c>
      <c r="I100" s="402" t="s">
        <v>24</v>
      </c>
      <c r="J100" s="715" t="s">
        <v>25</v>
      </c>
      <c r="K100" s="715"/>
      <c r="L100" s="21"/>
      <c r="W100" s="195"/>
      <c r="X100" s="195"/>
      <c r="Y100" s="8"/>
      <c r="Z100" s="8"/>
      <c r="AA100" s="8"/>
      <c r="AB100" s="8"/>
      <c r="AC100" s="8"/>
      <c r="AD100" s="8"/>
    </row>
    <row r="101" spans="1:30" ht="21.75" customHeight="1" x14ac:dyDescent="0.3">
      <c r="A101" s="21"/>
      <c r="B101" s="713" t="str">
        <f>'Calcul Hyd'!C3</f>
        <v>Olivier</v>
      </c>
      <c r="C101" s="713"/>
      <c r="D101" s="713"/>
      <c r="E101" s="714">
        <f>S169/10000</f>
        <v>1.44</v>
      </c>
      <c r="F101" s="714"/>
      <c r="G101" s="714"/>
      <c r="H101" s="401">
        <f>VLOOKUP(B101,'Calcul Hyd'!$C$3:$L$5,3,0)</f>
        <v>6</v>
      </c>
      <c r="I101" s="401">
        <f>VLOOKUP(B101,'Calcul Hyd'!$C$3:$L$5,4,0)</f>
        <v>6</v>
      </c>
      <c r="J101" s="713" t="s">
        <v>26</v>
      </c>
      <c r="K101" s="713"/>
      <c r="L101" s="21"/>
      <c r="W101" s="195"/>
      <c r="X101" s="195"/>
      <c r="Y101" s="8"/>
      <c r="Z101" s="8"/>
      <c r="AA101" s="8"/>
      <c r="AB101" s="8"/>
      <c r="AC101" s="8"/>
      <c r="AD101" s="8"/>
    </row>
    <row r="102" spans="1:30" ht="21.75" customHeight="1" x14ac:dyDescent="0.3">
      <c r="A102" s="21"/>
      <c r="B102" s="750" t="str">
        <f>'Calcul Hyd'!C4</f>
        <v>Caroube</v>
      </c>
      <c r="C102" s="750"/>
      <c r="D102" s="750"/>
      <c r="E102" s="873">
        <f>S170/10000</f>
        <v>1.49</v>
      </c>
      <c r="F102" s="873"/>
      <c r="G102" s="873"/>
      <c r="H102" s="507">
        <f>VLOOKUP(B102,'Calcul Hyd'!$C$3:$L$5,3,0)</f>
        <v>7</v>
      </c>
      <c r="I102" s="507">
        <f>VLOOKUP(B102,'Calcul Hyd'!$C$3:$L$5,4,0)</f>
        <v>7</v>
      </c>
      <c r="J102" s="750" t="s">
        <v>26</v>
      </c>
      <c r="K102" s="750"/>
      <c r="L102" s="21"/>
      <c r="W102" s="195"/>
      <c r="X102" s="195"/>
      <c r="Y102" s="8"/>
      <c r="Z102" s="8"/>
      <c r="AA102" s="8"/>
      <c r="AB102" s="8"/>
      <c r="AC102" s="8"/>
      <c r="AD102" s="8"/>
    </row>
    <row r="103" spans="1:30" ht="9" customHeight="1" x14ac:dyDescent="0.3">
      <c r="A103" s="21"/>
      <c r="B103" s="111"/>
      <c r="C103" s="111"/>
      <c r="D103" s="111"/>
      <c r="E103" s="399"/>
      <c r="F103" s="399"/>
      <c r="G103" s="399"/>
      <c r="H103" s="400"/>
      <c r="I103" s="400"/>
      <c r="J103" s="111"/>
      <c r="K103" s="111"/>
      <c r="L103" s="21"/>
      <c r="W103" s="195"/>
      <c r="X103" s="195"/>
      <c r="Y103" s="8"/>
      <c r="Z103" s="8"/>
      <c r="AA103" s="8"/>
      <c r="AB103" s="8"/>
      <c r="AC103" s="8"/>
      <c r="AD103" s="8"/>
    </row>
    <row r="104" spans="1:30" ht="18" customHeight="1" x14ac:dyDescent="0.3">
      <c r="A104" s="113" t="s">
        <v>251</v>
      </c>
      <c r="B104" s="24"/>
      <c r="C104" s="24"/>
      <c r="D104" s="24"/>
      <c r="E104" s="24"/>
      <c r="W104" s="195"/>
      <c r="X104" s="195"/>
      <c r="Y104" s="8"/>
      <c r="Z104" s="8"/>
      <c r="AA104" s="8"/>
      <c r="AB104" s="8"/>
      <c r="AC104" s="8"/>
      <c r="AD104" s="8"/>
    </row>
    <row r="105" spans="1:30" ht="18" customHeight="1" x14ac:dyDescent="0.3">
      <c r="A105" s="113" t="s">
        <v>252</v>
      </c>
      <c r="B105" s="24"/>
      <c r="C105" s="24"/>
      <c r="D105" s="24"/>
      <c r="E105" s="24"/>
      <c r="W105" s="195"/>
      <c r="X105" s="195"/>
      <c r="Y105" s="8"/>
      <c r="Z105" s="8"/>
      <c r="AA105" s="8"/>
      <c r="AB105" s="8"/>
      <c r="AC105" s="8"/>
      <c r="AD105" s="8"/>
    </row>
    <row r="106" spans="1:30" ht="12.75" customHeight="1" x14ac:dyDescent="0.3">
      <c r="A106" s="22"/>
      <c r="W106" s="195"/>
      <c r="X106" s="195"/>
      <c r="Y106" s="8"/>
      <c r="Z106" s="8"/>
      <c r="AA106" s="8"/>
      <c r="AB106" s="8"/>
      <c r="AC106" s="8"/>
      <c r="AD106" s="8"/>
    </row>
    <row r="107" spans="1:30" ht="15.6" customHeight="1" x14ac:dyDescent="0.3">
      <c r="A107" s="17" t="s">
        <v>27</v>
      </c>
      <c r="D107" s="3"/>
      <c r="E107" s="3"/>
      <c r="W107" s="195"/>
      <c r="X107" s="195"/>
      <c r="Y107" s="8"/>
      <c r="Z107" s="8"/>
      <c r="AA107" s="8"/>
      <c r="AB107" s="8"/>
      <c r="AC107" s="8"/>
      <c r="AD107" s="8"/>
    </row>
    <row r="108" spans="1:30" ht="18.75" customHeight="1" x14ac:dyDescent="0.3">
      <c r="A108" s="18" t="s">
        <v>535</v>
      </c>
      <c r="B108" s="18"/>
      <c r="D108" s="5" t="s">
        <v>28</v>
      </c>
      <c r="W108" s="195"/>
      <c r="X108" s="195"/>
      <c r="Y108" s="8"/>
      <c r="Z108" s="8"/>
      <c r="AA108" s="8"/>
      <c r="AB108" s="8"/>
      <c r="AC108" s="8"/>
      <c r="AD108" s="8"/>
    </row>
    <row r="109" spans="1:30" ht="18.75" customHeight="1" x14ac:dyDescent="0.3">
      <c r="A109" s="18" t="s">
        <v>536</v>
      </c>
      <c r="B109" s="18"/>
      <c r="D109" s="5" t="s">
        <v>29</v>
      </c>
      <c r="W109" s="195"/>
      <c r="X109" s="195"/>
      <c r="Y109" s="8"/>
      <c r="Z109" s="8"/>
      <c r="AA109" s="8"/>
      <c r="AB109" s="8"/>
      <c r="AC109" s="8"/>
      <c r="AD109" s="8"/>
    </row>
    <row r="110" spans="1:30" ht="18.75" customHeight="1" x14ac:dyDescent="0.3">
      <c r="A110" s="18" t="s">
        <v>537</v>
      </c>
      <c r="B110" s="18"/>
      <c r="D110" s="5" t="s">
        <v>30</v>
      </c>
      <c r="W110" s="195"/>
      <c r="X110" s="195"/>
      <c r="Y110" s="8"/>
      <c r="Z110" s="8"/>
      <c r="AA110" s="8"/>
      <c r="AB110" s="8"/>
      <c r="AC110" s="8"/>
      <c r="AD110" s="8"/>
    </row>
    <row r="111" spans="1:30" ht="15.6" customHeight="1" x14ac:dyDescent="0.3">
      <c r="W111" s="195"/>
      <c r="X111" s="195"/>
      <c r="Y111" s="8"/>
      <c r="Z111" s="8"/>
      <c r="AA111" s="8"/>
      <c r="AB111" s="8"/>
      <c r="AC111" s="8"/>
      <c r="AD111" s="8"/>
    </row>
    <row r="112" spans="1:30" ht="15.6" customHeight="1" x14ac:dyDescent="0.3">
      <c r="A112" s="17" t="s">
        <v>31</v>
      </c>
      <c r="D112" s="4"/>
      <c r="E112" s="4"/>
      <c r="F112" s="4"/>
      <c r="G112" s="4"/>
      <c r="W112" s="195"/>
      <c r="X112" s="195"/>
      <c r="Y112" s="8"/>
      <c r="Z112" s="8"/>
      <c r="AA112" s="8"/>
      <c r="AB112" s="8"/>
      <c r="AC112" s="8"/>
      <c r="AD112" s="8"/>
    </row>
    <row r="113" spans="1:30" ht="18" customHeight="1" x14ac:dyDescent="0.3">
      <c r="A113" s="868" t="s">
        <v>534</v>
      </c>
      <c r="B113" s="868"/>
      <c r="C113" s="868"/>
      <c r="D113" s="868"/>
      <c r="E113" s="868"/>
      <c r="F113" s="868"/>
      <c r="G113" s="868"/>
      <c r="H113" s="868"/>
      <c r="I113" s="868"/>
      <c r="J113" s="868"/>
      <c r="K113" s="868"/>
      <c r="L113" s="868"/>
      <c r="M113" s="868"/>
      <c r="O113" s="496"/>
      <c r="W113" s="195"/>
      <c r="X113" s="195"/>
      <c r="Y113" s="8"/>
      <c r="Z113" s="8"/>
      <c r="AA113" s="8"/>
      <c r="AB113" s="8"/>
      <c r="AC113" s="8"/>
      <c r="AD113" s="8"/>
    </row>
    <row r="114" spans="1:30" ht="15.6" customHeight="1" x14ac:dyDescent="0.3">
      <c r="A114" s="26"/>
      <c r="B114" s="26"/>
      <c r="C114" s="26"/>
      <c r="D114" s="26"/>
      <c r="E114" s="26"/>
      <c r="F114" s="26"/>
      <c r="G114" s="26"/>
      <c r="H114" s="26"/>
      <c r="I114" s="26"/>
      <c r="J114" s="26"/>
      <c r="K114" s="26"/>
      <c r="L114" s="26"/>
      <c r="M114" s="26"/>
      <c r="W114" s="195"/>
      <c r="X114" s="195"/>
      <c r="Y114" s="8"/>
      <c r="Z114" s="8"/>
      <c r="AA114" s="8"/>
      <c r="AB114" s="8"/>
      <c r="AC114" s="8"/>
      <c r="AD114" s="8"/>
    </row>
    <row r="115" spans="1:30" ht="23.25" hidden="1" customHeight="1" x14ac:dyDescent="0.3">
      <c r="A115" s="26"/>
      <c r="B115" s="114" t="s">
        <v>253</v>
      </c>
      <c r="C115" s="26"/>
      <c r="D115" s="26"/>
      <c r="E115" s="26"/>
      <c r="F115" s="26"/>
      <c r="G115" s="26"/>
      <c r="H115" s="26"/>
      <c r="I115" s="26"/>
      <c r="J115" s="26"/>
      <c r="K115" s="26"/>
      <c r="L115" s="26"/>
      <c r="M115" s="26"/>
      <c r="W115" s="195"/>
      <c r="X115" s="195"/>
      <c r="Y115" s="8"/>
      <c r="Z115" s="8"/>
      <c r="AA115" s="8"/>
      <c r="AB115" s="8"/>
      <c r="AC115" s="8"/>
      <c r="AD115" s="8"/>
    </row>
    <row r="116" spans="1:30" ht="33" customHeight="1" x14ac:dyDescent="0.3">
      <c r="A116" s="26"/>
      <c r="B116" s="770" t="s">
        <v>452</v>
      </c>
      <c r="C116" s="770"/>
      <c r="D116" s="770"/>
      <c r="E116" s="770"/>
      <c r="F116" s="770"/>
      <c r="G116" s="770"/>
      <c r="H116" s="770"/>
      <c r="I116" s="770"/>
      <c r="J116" s="770"/>
      <c r="K116" s="770"/>
      <c r="L116" s="770"/>
      <c r="M116" s="26"/>
      <c r="W116" s="195"/>
      <c r="X116" s="195"/>
      <c r="Y116" s="8"/>
      <c r="Z116" s="8"/>
      <c r="AA116" s="8"/>
      <c r="AB116" s="8"/>
      <c r="AC116" s="8"/>
      <c r="AD116" s="8"/>
    </row>
    <row r="117" spans="1:30" s="4" customFormat="1" ht="19.5" customHeight="1" x14ac:dyDescent="0.3">
      <c r="A117" s="25"/>
      <c r="B117" s="813" t="s">
        <v>50</v>
      </c>
      <c r="C117" s="814"/>
      <c r="D117" s="814"/>
      <c r="E117" s="872" t="s">
        <v>543</v>
      </c>
      <c r="F117" s="872"/>
      <c r="G117" s="743" t="s">
        <v>409</v>
      </c>
      <c r="H117" s="744"/>
      <c r="I117" s="398"/>
      <c r="J117" s="398"/>
      <c r="K117" s="398"/>
      <c r="L117" s="25"/>
      <c r="M117" s="25"/>
      <c r="N117" s="196"/>
      <c r="O117" s="196"/>
      <c r="P117" s="196"/>
      <c r="Q117" s="196"/>
      <c r="R117" s="196"/>
      <c r="S117" s="196"/>
      <c r="T117" s="196"/>
      <c r="U117" s="196"/>
      <c r="V117" s="196"/>
      <c r="W117" s="200"/>
      <c r="X117" s="200"/>
      <c r="Y117" s="115"/>
      <c r="Z117" s="115"/>
      <c r="AA117" s="115"/>
      <c r="AB117" s="115"/>
      <c r="AC117" s="115"/>
      <c r="AD117" s="115"/>
    </row>
    <row r="118" spans="1:30" s="4" customFormat="1" ht="19.5" customHeight="1" x14ac:dyDescent="0.3">
      <c r="A118" s="25"/>
      <c r="B118" s="745" t="s">
        <v>32</v>
      </c>
      <c r="C118" s="746"/>
      <c r="D118" s="747"/>
      <c r="E118" s="790">
        <f>D339</f>
        <v>15</v>
      </c>
      <c r="F118" s="791" t="s">
        <v>33</v>
      </c>
      <c r="G118" s="740">
        <f>+D376</f>
        <v>18</v>
      </c>
      <c r="H118" s="741" t="s">
        <v>33</v>
      </c>
      <c r="I118" s="398"/>
      <c r="J118" s="398"/>
      <c r="K118" s="398"/>
      <c r="L118" s="25"/>
      <c r="M118" s="25"/>
      <c r="N118" s="196"/>
      <c r="O118" s="196"/>
      <c r="P118" s="196"/>
      <c r="Q118" s="196"/>
      <c r="R118" s="196"/>
      <c r="S118" s="196"/>
      <c r="T118" s="196"/>
      <c r="U118" s="196"/>
      <c r="V118" s="196"/>
      <c r="W118" s="200"/>
      <c r="X118" s="200"/>
      <c r="Y118" s="115"/>
      <c r="Z118" s="115"/>
      <c r="AA118" s="115"/>
      <c r="AB118" s="115"/>
      <c r="AC118" s="115"/>
      <c r="AD118" s="115"/>
    </row>
    <row r="119" spans="1:30" s="4" customFormat="1" ht="19.5" customHeight="1" x14ac:dyDescent="0.3">
      <c r="A119" s="25"/>
      <c r="B119" s="874" t="s">
        <v>399</v>
      </c>
      <c r="C119" s="875"/>
      <c r="D119" s="508" t="s">
        <v>544</v>
      </c>
      <c r="E119" s="780">
        <v>84808</v>
      </c>
      <c r="F119" s="780"/>
      <c r="G119" s="854" t="s">
        <v>539</v>
      </c>
      <c r="H119" s="855"/>
      <c r="I119" s="398"/>
      <c r="J119" s="398"/>
      <c r="K119" s="398"/>
      <c r="L119" s="25"/>
      <c r="M119" s="25"/>
      <c r="N119" s="196"/>
      <c r="O119" s="196"/>
      <c r="P119" s="196"/>
      <c r="Q119" s="196"/>
      <c r="R119" s="196">
        <v>84773</v>
      </c>
      <c r="S119" s="196">
        <f>E119-R119</f>
        <v>35</v>
      </c>
      <c r="T119" s="196"/>
      <c r="U119" s="196"/>
      <c r="V119" s="196"/>
      <c r="W119" s="200"/>
      <c r="X119" s="200"/>
      <c r="Y119" s="115"/>
      <c r="Z119" s="115"/>
      <c r="AA119" s="115"/>
      <c r="AB119" s="115"/>
      <c r="AC119" s="115"/>
      <c r="AD119" s="115"/>
    </row>
    <row r="120" spans="1:30" s="4" customFormat="1" ht="19.5" customHeight="1" x14ac:dyDescent="0.3">
      <c r="A120" s="25"/>
      <c r="B120" s="876"/>
      <c r="C120" s="877"/>
      <c r="D120" s="509" t="s">
        <v>545</v>
      </c>
      <c r="E120" s="780">
        <v>274480</v>
      </c>
      <c r="F120" s="780"/>
      <c r="G120" s="854" t="s">
        <v>540</v>
      </c>
      <c r="H120" s="855"/>
      <c r="I120" s="398"/>
      <c r="J120" s="398"/>
      <c r="K120" s="398"/>
      <c r="L120" s="25"/>
      <c r="M120" s="25"/>
      <c r="N120" s="196"/>
      <c r="O120" s="196"/>
      <c r="P120" s="196"/>
      <c r="Q120" s="196"/>
      <c r="R120" s="196">
        <v>274501</v>
      </c>
      <c r="S120" s="196">
        <f>E120-R120</f>
        <v>-21</v>
      </c>
      <c r="T120" s="196"/>
      <c r="U120" s="196"/>
      <c r="V120" s="196"/>
      <c r="W120" s="200"/>
      <c r="X120" s="200"/>
      <c r="Y120" s="115"/>
      <c r="Z120" s="115"/>
      <c r="AA120" s="115"/>
      <c r="AB120" s="115"/>
      <c r="AC120" s="115"/>
      <c r="AD120" s="115"/>
    </row>
    <row r="121" spans="1:30" s="4" customFormat="1" ht="19.5" customHeight="1" x14ac:dyDescent="0.3">
      <c r="A121" s="25"/>
      <c r="B121" s="745" t="s">
        <v>34</v>
      </c>
      <c r="C121" s="746"/>
      <c r="D121" s="747"/>
      <c r="E121" s="804">
        <v>140</v>
      </c>
      <c r="F121" s="805"/>
      <c r="G121" s="811">
        <v>100</v>
      </c>
      <c r="H121" s="812" t="s">
        <v>35</v>
      </c>
      <c r="I121" s="398"/>
      <c r="J121" s="398"/>
      <c r="K121" s="398"/>
      <c r="L121" s="25"/>
      <c r="M121" s="25"/>
      <c r="N121" s="196"/>
      <c r="O121" s="196"/>
      <c r="P121" s="196"/>
      <c r="Q121" s="196"/>
      <c r="R121" s="196"/>
      <c r="S121" s="196"/>
      <c r="T121" s="196"/>
      <c r="U121" s="196"/>
      <c r="V121" s="196"/>
      <c r="W121" s="200"/>
      <c r="X121" s="200"/>
      <c r="Y121" s="115"/>
      <c r="Z121" s="115"/>
      <c r="AA121" s="115"/>
      <c r="AB121" s="115"/>
      <c r="AC121" s="115"/>
      <c r="AD121" s="115"/>
    </row>
    <row r="122" spans="1:30" s="4" customFormat="1" ht="19.5" customHeight="1" x14ac:dyDescent="0.3">
      <c r="A122" s="25"/>
      <c r="B122" s="745" t="s">
        <v>37</v>
      </c>
      <c r="C122" s="746"/>
      <c r="D122" s="746"/>
      <c r="E122" s="804">
        <f>H341</f>
        <v>100</v>
      </c>
      <c r="F122" s="805" t="s">
        <v>35</v>
      </c>
      <c r="G122" s="811">
        <f>+H378</f>
        <v>90</v>
      </c>
      <c r="H122" s="812" t="s">
        <v>35</v>
      </c>
      <c r="I122" s="398"/>
      <c r="J122" s="398"/>
      <c r="K122" s="398"/>
      <c r="L122" s="25"/>
      <c r="M122" s="25"/>
      <c r="N122" s="196"/>
      <c r="O122" s="196"/>
      <c r="P122" s="196"/>
      <c r="Q122" s="196"/>
      <c r="R122" s="196"/>
      <c r="S122" s="196"/>
      <c r="T122" s="196"/>
      <c r="U122" s="196"/>
      <c r="V122" s="196"/>
      <c r="W122" s="200"/>
      <c r="X122" s="200"/>
      <c r="Y122" s="115"/>
      <c r="Z122" s="115"/>
      <c r="AA122" s="115"/>
      <c r="AB122" s="115"/>
      <c r="AC122" s="115"/>
      <c r="AD122" s="115"/>
    </row>
    <row r="123" spans="1:30" s="4" customFormat="1" ht="19.5" customHeight="1" x14ac:dyDescent="0.3">
      <c r="A123" s="25"/>
      <c r="B123" s="745" t="s">
        <v>36</v>
      </c>
      <c r="C123" s="746"/>
      <c r="D123" s="747"/>
      <c r="E123" s="804">
        <v>80</v>
      </c>
      <c r="F123" s="805" t="s">
        <v>35</v>
      </c>
      <c r="G123" s="811">
        <v>60</v>
      </c>
      <c r="H123" s="812" t="s">
        <v>35</v>
      </c>
      <c r="I123" s="398"/>
      <c r="J123" s="398"/>
      <c r="K123" s="398"/>
      <c r="L123" s="25"/>
      <c r="M123" s="25"/>
      <c r="N123" s="196"/>
      <c r="O123" s="196"/>
      <c r="P123" s="196"/>
      <c r="Q123" s="196"/>
      <c r="R123" s="196"/>
      <c r="S123" s="196"/>
      <c r="T123" s="196"/>
      <c r="U123" s="196"/>
      <c r="V123" s="196"/>
      <c r="W123" s="200"/>
      <c r="X123" s="200"/>
      <c r="Y123" s="115"/>
      <c r="Z123" s="115"/>
      <c r="AA123" s="115"/>
      <c r="AB123" s="115"/>
      <c r="AC123" s="115"/>
      <c r="AD123" s="115"/>
    </row>
    <row r="124" spans="1:30" ht="15.6" customHeight="1" x14ac:dyDescent="0.3">
      <c r="A124" s="26"/>
      <c r="B124" s="27"/>
      <c r="C124" s="28"/>
      <c r="D124" s="29"/>
      <c r="E124" s="29"/>
      <c r="F124" s="26"/>
      <c r="G124" s="26"/>
      <c r="H124" s="26"/>
      <c r="I124" s="26"/>
      <c r="J124" s="26"/>
      <c r="K124" s="26"/>
      <c r="L124" s="26"/>
      <c r="M124" s="26"/>
      <c r="W124" s="195"/>
      <c r="X124" s="195"/>
      <c r="Y124" s="8"/>
      <c r="Z124" s="8"/>
      <c r="AA124" s="8"/>
      <c r="AB124" s="8"/>
      <c r="AC124" s="8"/>
      <c r="AD124" s="8"/>
    </row>
    <row r="125" spans="1:30" ht="15.6" customHeight="1" x14ac:dyDescent="0.3">
      <c r="A125" s="18" t="s">
        <v>38</v>
      </c>
      <c r="B125" s="3"/>
      <c r="C125" s="3"/>
      <c r="D125" s="3"/>
      <c r="E125" s="3"/>
      <c r="F125" s="4"/>
      <c r="G125" s="4"/>
      <c r="W125" s="195"/>
      <c r="X125" s="195"/>
      <c r="Y125" s="8"/>
      <c r="Z125" s="8"/>
      <c r="AA125" s="8"/>
      <c r="AB125" s="8"/>
      <c r="AC125" s="8"/>
      <c r="AD125" s="8"/>
    </row>
    <row r="126" spans="1:30" ht="6.75" customHeight="1" x14ac:dyDescent="0.3">
      <c r="A126" s="18"/>
      <c r="B126" s="3"/>
      <c r="C126" s="3"/>
      <c r="D126" s="3"/>
      <c r="E126" s="3"/>
      <c r="F126" s="4"/>
      <c r="G126" s="4"/>
      <c r="W126" s="195"/>
      <c r="X126" s="195"/>
      <c r="Y126" s="8"/>
      <c r="Z126" s="8"/>
      <c r="AA126" s="8"/>
      <c r="AB126" s="8"/>
      <c r="AC126" s="8"/>
      <c r="AD126" s="8"/>
    </row>
    <row r="127" spans="1:30" ht="15.6" customHeight="1" x14ac:dyDescent="0.3">
      <c r="A127" s="18" t="s">
        <v>39</v>
      </c>
      <c r="B127" s="3"/>
      <c r="C127" s="3"/>
      <c r="D127" s="3"/>
      <c r="E127" s="3"/>
      <c r="F127" s="4"/>
      <c r="G127" s="4"/>
      <c r="Q127" s="196">
        <f>75+15*15</f>
        <v>300</v>
      </c>
      <c r="R127" s="196">
        <v>411</v>
      </c>
      <c r="W127" s="195"/>
      <c r="X127" s="195"/>
      <c r="Y127" s="8"/>
      <c r="Z127" s="8"/>
      <c r="AA127" s="8"/>
      <c r="AB127" s="8"/>
      <c r="AC127" s="8"/>
      <c r="AD127" s="8"/>
    </row>
    <row r="128" spans="1:30" ht="15.6" customHeight="1" x14ac:dyDescent="0.3">
      <c r="B128" s="700" t="s">
        <v>40</v>
      </c>
      <c r="C128" s="700"/>
      <c r="D128" s="700"/>
      <c r="E128" s="700"/>
      <c r="F128" s="700"/>
      <c r="G128" s="700"/>
      <c r="R128" s="196">
        <f>+R127+Q127</f>
        <v>711</v>
      </c>
      <c r="W128" s="195"/>
      <c r="X128" s="195"/>
      <c r="Y128" s="8"/>
      <c r="Z128" s="8"/>
      <c r="AA128" s="8"/>
      <c r="AB128" s="8"/>
      <c r="AC128" s="8"/>
      <c r="AD128" s="8"/>
    </row>
    <row r="129" spans="1:30" ht="15.6" customHeight="1" x14ac:dyDescent="0.3">
      <c r="A129" s="30" t="s">
        <v>41</v>
      </c>
      <c r="B129" s="3"/>
      <c r="C129" s="3"/>
      <c r="D129" s="3"/>
      <c r="E129" s="3" t="s">
        <v>42</v>
      </c>
      <c r="F129" s="4"/>
      <c r="G129" s="4"/>
      <c r="J129" s="31"/>
      <c r="R129" s="196">
        <f>+R128+200</f>
        <v>911</v>
      </c>
      <c r="W129" s="195"/>
      <c r="X129" s="195"/>
      <c r="Y129" s="8"/>
      <c r="Z129" s="8"/>
      <c r="AA129" s="8"/>
      <c r="AB129" s="8"/>
      <c r="AC129" s="8"/>
      <c r="AD129" s="8"/>
    </row>
    <row r="130" spans="1:30" ht="15.6" customHeight="1" x14ac:dyDescent="0.3">
      <c r="A130" s="32" t="s">
        <v>43</v>
      </c>
      <c r="B130" s="3"/>
      <c r="C130" s="3"/>
      <c r="D130" s="3"/>
      <c r="E130" s="3"/>
      <c r="F130" s="4"/>
      <c r="G130" s="4"/>
      <c r="W130" s="195"/>
      <c r="X130" s="195"/>
      <c r="Y130" s="8"/>
      <c r="Z130" s="8"/>
      <c r="AA130" s="8"/>
      <c r="AB130" s="8"/>
      <c r="AC130" s="8"/>
      <c r="AD130" s="8"/>
    </row>
    <row r="131" spans="1:30" ht="14.25" customHeight="1" x14ac:dyDescent="0.3">
      <c r="A131" s="32" t="s">
        <v>44</v>
      </c>
      <c r="B131" s="3"/>
      <c r="C131" s="3"/>
      <c r="D131" s="3"/>
      <c r="E131" s="3"/>
      <c r="F131" s="4"/>
      <c r="G131" s="4"/>
      <c r="W131" s="195"/>
      <c r="X131" s="195"/>
      <c r="Y131" s="8"/>
      <c r="Z131" s="8"/>
      <c r="AA131" s="8"/>
      <c r="AB131" s="8"/>
      <c r="AC131" s="8"/>
      <c r="AD131" s="8"/>
    </row>
    <row r="132" spans="1:30" ht="15.6" customHeight="1" x14ac:dyDescent="0.3">
      <c r="A132" s="32" t="s">
        <v>45</v>
      </c>
      <c r="B132" s="3"/>
      <c r="C132" s="3"/>
      <c r="D132" s="3"/>
      <c r="E132" s="3"/>
      <c r="F132" s="4"/>
      <c r="G132" s="4"/>
      <c r="W132" s="195"/>
      <c r="X132" s="195"/>
      <c r="Y132" s="8"/>
      <c r="Z132" s="8"/>
      <c r="AA132" s="8"/>
      <c r="AB132" s="8"/>
      <c r="AC132" s="8"/>
      <c r="AD132" s="8"/>
    </row>
    <row r="133" spans="1:30" ht="18" customHeight="1" x14ac:dyDescent="0.3">
      <c r="A133" s="32" t="s">
        <v>46</v>
      </c>
      <c r="B133" s="3"/>
      <c r="C133" s="3"/>
      <c r="D133" s="3"/>
      <c r="E133" s="3"/>
      <c r="F133" s="4"/>
      <c r="G133" s="4"/>
      <c r="W133" s="195"/>
      <c r="X133" s="195"/>
      <c r="Y133" s="8"/>
      <c r="Z133" s="8"/>
      <c r="AA133" s="8"/>
      <c r="AB133" s="8"/>
      <c r="AC133" s="8"/>
      <c r="AD133" s="8"/>
    </row>
    <row r="134" spans="1:30" ht="18" customHeight="1" x14ac:dyDescent="0.3">
      <c r="A134" s="3"/>
      <c r="B134" s="3"/>
      <c r="C134" s="3"/>
      <c r="D134" s="3"/>
      <c r="E134" s="3"/>
      <c r="F134" s="4"/>
      <c r="G134" s="4"/>
      <c r="W134" s="195"/>
      <c r="X134" s="195"/>
      <c r="Y134" s="8"/>
      <c r="Z134" s="8"/>
      <c r="AA134" s="8"/>
      <c r="AB134" s="8"/>
      <c r="AC134" s="8"/>
      <c r="AD134" s="8"/>
    </row>
    <row r="135" spans="1:30" ht="21.75" customHeight="1" x14ac:dyDescent="0.3">
      <c r="A135" s="11" t="s">
        <v>47</v>
      </c>
      <c r="B135" s="3"/>
      <c r="C135" s="3"/>
      <c r="D135" s="3"/>
      <c r="E135" s="3"/>
      <c r="F135" s="4"/>
      <c r="G135" s="4"/>
      <c r="W135" s="195"/>
      <c r="X135" s="195"/>
      <c r="Y135" s="8"/>
      <c r="Z135" s="8"/>
      <c r="AA135" s="8"/>
      <c r="AB135" s="8"/>
      <c r="AC135" s="8"/>
      <c r="AD135" s="8"/>
    </row>
    <row r="136" spans="1:30" ht="21.75" customHeight="1" x14ac:dyDescent="0.3">
      <c r="A136" s="17" t="s">
        <v>48</v>
      </c>
      <c r="B136" s="3"/>
      <c r="C136" s="3"/>
      <c r="D136" s="3"/>
      <c r="E136" s="3"/>
      <c r="F136" s="4"/>
      <c r="G136" s="4"/>
      <c r="W136" s="195"/>
      <c r="X136" s="195"/>
      <c r="Y136" s="8"/>
      <c r="Z136" s="8"/>
      <c r="AA136" s="8"/>
      <c r="AB136" s="8"/>
      <c r="AC136" s="8"/>
      <c r="AD136" s="8"/>
    </row>
    <row r="137" spans="1:30" ht="21.75" customHeight="1" x14ac:dyDescent="0.3">
      <c r="A137" s="18" t="s">
        <v>49</v>
      </c>
      <c r="B137" s="3"/>
      <c r="C137" s="3"/>
      <c r="D137" s="3"/>
      <c r="E137" s="3"/>
      <c r="F137" s="4"/>
      <c r="G137" s="4"/>
      <c r="W137" s="195"/>
      <c r="X137" s="195"/>
      <c r="Y137" s="8"/>
      <c r="Z137" s="8"/>
      <c r="AA137" s="8"/>
      <c r="AB137" s="8"/>
      <c r="AC137" s="8"/>
      <c r="AD137" s="8"/>
    </row>
    <row r="138" spans="1:30" ht="15.6" customHeight="1" x14ac:dyDescent="0.3">
      <c r="A138" s="3"/>
      <c r="B138" s="3"/>
      <c r="C138" s="3"/>
      <c r="D138" s="3"/>
      <c r="E138" s="3"/>
      <c r="F138" s="4"/>
      <c r="G138" s="4"/>
      <c r="W138" s="195"/>
      <c r="X138" s="195"/>
      <c r="Y138" s="8"/>
      <c r="Z138" s="8"/>
      <c r="AA138" s="8"/>
      <c r="AB138" s="8"/>
      <c r="AC138" s="8"/>
      <c r="AD138" s="8"/>
    </row>
    <row r="139" spans="1:30" ht="21.75" customHeight="1" x14ac:dyDescent="0.3">
      <c r="A139" s="9"/>
      <c r="B139" s="742" t="s">
        <v>21</v>
      </c>
      <c r="C139" s="742"/>
      <c r="D139" s="742"/>
      <c r="E139" s="742"/>
      <c r="F139" s="851" t="str">
        <f>+B101</f>
        <v>Olivier</v>
      </c>
      <c r="G139" s="852"/>
      <c r="H139" s="735" t="str">
        <f>B102</f>
        <v>Caroube</v>
      </c>
      <c r="I139" s="735"/>
      <c r="J139" s="334"/>
      <c r="K139" s="334"/>
      <c r="L139" s="156"/>
      <c r="W139" s="195"/>
      <c r="X139" s="195"/>
      <c r="Y139" s="8"/>
      <c r="Z139" s="8"/>
      <c r="AA139" s="8"/>
      <c r="AB139" s="8"/>
      <c r="AC139" s="8"/>
      <c r="AD139" s="8"/>
    </row>
    <row r="140" spans="1:30" ht="29.25" customHeight="1" x14ac:dyDescent="0.3">
      <c r="A140" s="9"/>
      <c r="B140" s="856" t="s">
        <v>254</v>
      </c>
      <c r="C140" s="857"/>
      <c r="D140" s="857"/>
      <c r="E140" s="857"/>
      <c r="F140" s="649" t="s">
        <v>348</v>
      </c>
      <c r="G140" s="771"/>
      <c r="H140" s="649" t="s">
        <v>348</v>
      </c>
      <c r="I140" s="649"/>
      <c r="J140" s="334"/>
      <c r="K140" s="334"/>
      <c r="L140" s="156"/>
      <c r="W140" s="195"/>
      <c r="X140" s="195"/>
      <c r="Y140" s="8"/>
      <c r="Z140" s="8"/>
      <c r="AA140" s="8"/>
      <c r="AB140" s="8"/>
      <c r="AC140" s="8"/>
      <c r="AD140" s="8"/>
    </row>
    <row r="141" spans="1:30" ht="18" customHeight="1" x14ac:dyDescent="0.3">
      <c r="A141" s="9"/>
      <c r="B141" s="858"/>
      <c r="C141" s="859"/>
      <c r="D141" s="859"/>
      <c r="E141" s="859"/>
      <c r="F141" s="797" t="s">
        <v>554</v>
      </c>
      <c r="G141" s="798"/>
      <c r="H141" s="797" t="s">
        <v>554</v>
      </c>
      <c r="I141" s="802"/>
      <c r="J141" s="334"/>
      <c r="K141" s="334"/>
      <c r="L141" s="156"/>
      <c r="W141" s="195"/>
      <c r="X141" s="195"/>
      <c r="Y141" s="8"/>
      <c r="Z141" s="8"/>
      <c r="AA141" s="8"/>
      <c r="AB141" s="8"/>
      <c r="AC141" s="8"/>
      <c r="AD141" s="8"/>
    </row>
    <row r="142" spans="1:30" ht="15.6" customHeight="1" x14ac:dyDescent="0.3">
      <c r="A142" s="3"/>
      <c r="B142" s="742" t="s">
        <v>255</v>
      </c>
      <c r="C142" s="742"/>
      <c r="D142" s="742"/>
      <c r="E142" s="742"/>
      <c r="F142" s="807">
        <f>VLOOKUP(F$139,'Calcul Hyd'!$C$3:$L$5,8,0)</f>
        <v>15.23</v>
      </c>
      <c r="G142" s="808" t="s">
        <v>264</v>
      </c>
      <c r="H142" s="738">
        <f>VLOOKUP(H139,'Calcul Hyd'!$C$3:$L$5,8,0)</f>
        <v>15.23</v>
      </c>
      <c r="I142" s="738" t="s">
        <v>264</v>
      </c>
      <c r="J142" s="334"/>
      <c r="K142" s="334"/>
      <c r="L142" s="156"/>
      <c r="W142" s="195"/>
      <c r="X142" s="195"/>
      <c r="Y142" s="8"/>
      <c r="Z142" s="8"/>
      <c r="AA142" s="8"/>
      <c r="AB142" s="8"/>
      <c r="AC142" s="8"/>
      <c r="AD142" s="8"/>
    </row>
    <row r="143" spans="1:30" ht="15.6" customHeight="1" x14ac:dyDescent="0.3">
      <c r="A143" s="9"/>
      <c r="B143" s="742" t="s">
        <v>410</v>
      </c>
      <c r="C143" s="742"/>
      <c r="D143" s="742"/>
      <c r="E143" s="742"/>
      <c r="F143" s="778">
        <f>VLOOKUP(F$139,'Calcul Hyd'!$C$3:$L$5,7,0)</f>
        <v>4</v>
      </c>
      <c r="G143" s="779"/>
      <c r="H143" s="853">
        <f>VLOOKUP(H$139,'Calcul Hyd'!$C$3:$L$5,7,0)</f>
        <v>4</v>
      </c>
      <c r="I143" s="853"/>
      <c r="J143" s="334"/>
      <c r="K143" s="334"/>
      <c r="L143" s="156"/>
      <c r="W143" s="195"/>
      <c r="X143" s="195"/>
      <c r="Y143" s="8"/>
      <c r="Z143" s="8"/>
      <c r="AA143" s="8"/>
      <c r="AB143" s="8"/>
      <c r="AC143" s="8"/>
      <c r="AD143" s="8"/>
    </row>
    <row r="144" spans="1:30" ht="15.6" customHeight="1" x14ac:dyDescent="0.3">
      <c r="A144" s="9"/>
      <c r="B144" s="742" t="s">
        <v>256</v>
      </c>
      <c r="C144" s="742"/>
      <c r="D144" s="742"/>
      <c r="E144" s="742"/>
      <c r="F144" s="748">
        <f>VLOOKUP(F139,'Calcul Hyd'!$C$3:$L$5,9,0)</f>
        <v>3</v>
      </c>
      <c r="G144" s="749"/>
      <c r="H144" s="739">
        <f>VLOOKUP(H$139,'Calcul Hyd'!$C$3:$L$5,9,0)</f>
        <v>3.5</v>
      </c>
      <c r="I144" s="739" t="s">
        <v>35</v>
      </c>
      <c r="J144" s="334"/>
      <c r="K144" s="334"/>
      <c r="L144" s="156"/>
      <c r="W144" s="195"/>
      <c r="X144" s="195"/>
      <c r="Y144" s="8"/>
      <c r="Z144" s="8"/>
      <c r="AA144" s="8"/>
      <c r="AB144" s="8"/>
      <c r="AC144" s="8"/>
      <c r="AD144" s="8"/>
    </row>
    <row r="145" spans="1:30" ht="15.6" customHeight="1" x14ac:dyDescent="0.3">
      <c r="A145" s="9"/>
      <c r="B145" s="742" t="s">
        <v>257</v>
      </c>
      <c r="C145" s="742"/>
      <c r="D145" s="742"/>
      <c r="E145" s="742"/>
      <c r="F145" s="736">
        <f>VLOOKUP(F$139,'Calcul Hyd'!$C$3:$L$5,3,0)</f>
        <v>6</v>
      </c>
      <c r="G145" s="737" t="s">
        <v>35</v>
      </c>
      <c r="H145" s="799">
        <f>VLOOKUP(H$139,'Calcul Hyd'!$C$3:$L$5,3,0)</f>
        <v>7</v>
      </c>
      <c r="I145" s="799" t="s">
        <v>35</v>
      </c>
      <c r="J145" s="334"/>
      <c r="K145" s="334"/>
      <c r="L145" s="156"/>
      <c r="W145" s="195"/>
      <c r="X145" s="195"/>
      <c r="Y145" s="8"/>
      <c r="Z145" s="8"/>
      <c r="AA145" s="8"/>
      <c r="AB145" s="8"/>
      <c r="AC145" s="8"/>
      <c r="AD145" s="8"/>
    </row>
    <row r="146" spans="1:30" ht="15.6" customHeight="1" x14ac:dyDescent="0.3">
      <c r="A146" s="3"/>
      <c r="B146" s="742" t="s">
        <v>258</v>
      </c>
      <c r="C146" s="742"/>
      <c r="D146" s="742"/>
      <c r="E146" s="742"/>
      <c r="F146" s="800">
        <f>VLOOKUP(F$139,'Calcul Hyd'!$C$3:$L$5,5,0)</f>
        <v>2</v>
      </c>
      <c r="G146" s="801"/>
      <c r="H146" s="750">
        <f>VLOOKUP(H$139,'Calcul Hyd'!$C$3:$L$5,5,0)</f>
        <v>2</v>
      </c>
      <c r="I146" s="750"/>
      <c r="J146" s="334"/>
      <c r="K146" s="334"/>
      <c r="L146" s="156"/>
      <c r="W146" s="195"/>
      <c r="X146" s="195"/>
      <c r="Y146" s="8"/>
      <c r="Z146" s="8"/>
      <c r="AA146" s="8"/>
      <c r="AB146" s="8"/>
      <c r="AC146" s="8"/>
      <c r="AD146" s="8"/>
    </row>
    <row r="147" spans="1:30" ht="15.6" customHeight="1" x14ac:dyDescent="0.3">
      <c r="A147" s="9"/>
      <c r="B147" s="742" t="s">
        <v>259</v>
      </c>
      <c r="C147" s="742"/>
      <c r="D147" s="742"/>
      <c r="E147" s="742"/>
      <c r="F147" s="800" t="s">
        <v>266</v>
      </c>
      <c r="G147" s="801"/>
      <c r="H147" s="750" t="s">
        <v>266</v>
      </c>
      <c r="I147" s="750"/>
      <c r="J147" s="334"/>
      <c r="K147" s="334"/>
      <c r="L147" s="156"/>
      <c r="W147" s="195"/>
      <c r="X147" s="195"/>
      <c r="Y147" s="8"/>
      <c r="Z147" s="8"/>
      <c r="AA147" s="8"/>
      <c r="AB147" s="8"/>
      <c r="AC147" s="8"/>
      <c r="AD147" s="8"/>
    </row>
    <row r="148" spans="1:30" ht="32.25" customHeight="1" x14ac:dyDescent="0.3">
      <c r="A148" s="9"/>
      <c r="B148" s="742" t="s">
        <v>260</v>
      </c>
      <c r="C148" s="742"/>
      <c r="D148" s="742"/>
      <c r="E148" s="742"/>
      <c r="F148" s="649" t="s">
        <v>265</v>
      </c>
      <c r="G148" s="771"/>
      <c r="H148" s="869" t="s">
        <v>265</v>
      </c>
      <c r="I148" s="869"/>
      <c r="J148" s="334"/>
      <c r="K148" s="334"/>
      <c r="L148" s="156"/>
      <c r="W148" s="195"/>
      <c r="X148" s="195"/>
      <c r="Y148" s="8"/>
      <c r="Z148" s="8"/>
      <c r="AA148" s="8"/>
      <c r="AB148" s="8"/>
      <c r="AC148" s="8"/>
      <c r="AD148" s="8"/>
    </row>
    <row r="149" spans="1:30" ht="19.5" customHeight="1" x14ac:dyDescent="0.3">
      <c r="A149" s="32" t="s">
        <v>263</v>
      </c>
      <c r="B149" s="3"/>
      <c r="C149" s="3"/>
      <c r="D149" s="3"/>
      <c r="E149" s="3"/>
      <c r="F149" s="4"/>
      <c r="G149" s="4"/>
      <c r="W149" s="195"/>
      <c r="X149" s="195"/>
      <c r="Y149" s="8"/>
      <c r="Z149" s="8"/>
      <c r="AA149" s="8"/>
      <c r="AB149" s="8"/>
      <c r="AC149" s="8"/>
      <c r="AD149" s="8"/>
    </row>
    <row r="150" spans="1:30" ht="19.5" customHeight="1" x14ac:dyDescent="0.3">
      <c r="A150" s="32" t="s">
        <v>261</v>
      </c>
      <c r="B150" s="3"/>
      <c r="C150" s="3"/>
      <c r="D150" s="3"/>
      <c r="E150" s="3"/>
      <c r="F150" s="4"/>
      <c r="G150" s="4"/>
      <c r="W150" s="195"/>
      <c r="X150" s="195"/>
      <c r="Y150" s="8"/>
      <c r="Z150" s="8"/>
      <c r="AA150" s="8"/>
      <c r="AB150" s="8"/>
      <c r="AC150" s="8"/>
      <c r="AD150" s="8"/>
    </row>
    <row r="151" spans="1:30" ht="19.5" customHeight="1" x14ac:dyDescent="0.3">
      <c r="A151" s="32" t="s">
        <v>262</v>
      </c>
      <c r="B151" s="3"/>
      <c r="C151" s="3"/>
      <c r="D151" s="3"/>
      <c r="E151" s="3"/>
      <c r="F151" s="4"/>
      <c r="G151" s="4"/>
    </row>
    <row r="152" spans="1:30" ht="16.5" customHeight="1" x14ac:dyDescent="0.3">
      <c r="A152" s="3"/>
      <c r="B152" s="3"/>
      <c r="C152" s="3"/>
      <c r="D152" s="3"/>
      <c r="E152" s="3"/>
      <c r="F152" s="4"/>
      <c r="G152" s="4"/>
    </row>
    <row r="153" spans="1:30" ht="15.6" customHeight="1" x14ac:dyDescent="0.3">
      <c r="A153" s="18" t="s">
        <v>52</v>
      </c>
      <c r="B153" s="3"/>
      <c r="C153" s="3"/>
      <c r="D153" s="3"/>
      <c r="E153" s="3"/>
      <c r="F153" s="4"/>
      <c r="G153" s="4"/>
    </row>
    <row r="154" spans="1:30" ht="15.6" customHeight="1" x14ac:dyDescent="0.3">
      <c r="A154" s="3"/>
      <c r="B154" s="3"/>
      <c r="C154" s="3"/>
      <c r="D154" s="3"/>
      <c r="E154" s="3"/>
      <c r="F154" s="4"/>
      <c r="G154" s="4"/>
    </row>
    <row r="155" spans="1:30" ht="33.75" customHeight="1" x14ac:dyDescent="0.3">
      <c r="A155" s="838" t="s">
        <v>275</v>
      </c>
      <c r="B155" s="838"/>
      <c r="C155" s="838"/>
      <c r="D155" s="773" t="s">
        <v>53</v>
      </c>
      <c r="E155" s="773"/>
      <c r="F155" s="773" t="str">
        <f>F139</f>
        <v>Olivier</v>
      </c>
      <c r="G155" s="796"/>
      <c r="H155" s="806" t="str">
        <f>H139</f>
        <v>Caroube</v>
      </c>
      <c r="I155" s="806"/>
      <c r="Y155" s="8"/>
      <c r="Z155" s="8"/>
      <c r="AA155" s="8"/>
      <c r="AB155" s="8"/>
      <c r="AC155" s="8"/>
      <c r="AD155" s="8"/>
    </row>
    <row r="156" spans="1:30" ht="27" customHeight="1" x14ac:dyDescent="0.3">
      <c r="A156" s="774" t="s">
        <v>276</v>
      </c>
      <c r="B156" s="774"/>
      <c r="C156" s="774"/>
      <c r="D156" s="803" t="s">
        <v>277</v>
      </c>
      <c r="E156" s="803"/>
      <c r="F156" s="794">
        <f>VLOOKUP(F$155,'Calcul Hyd'!$C$3:$S$5,10,0)</f>
        <v>1.6922222222222223</v>
      </c>
      <c r="G156" s="795"/>
      <c r="H156" s="792">
        <f>VLOOKUP(H$155,'Calcul Hyd'!$C$3:$S$5,10,0)</f>
        <v>1.243265306122449</v>
      </c>
      <c r="I156" s="793"/>
      <c r="Y156" s="8"/>
      <c r="Z156" s="8"/>
      <c r="AA156" s="8"/>
      <c r="AB156" s="8"/>
      <c r="AC156" s="8"/>
      <c r="AD156" s="8"/>
    </row>
    <row r="157" spans="1:30" ht="27" customHeight="1" x14ac:dyDescent="0.3">
      <c r="A157" s="774" t="s">
        <v>278</v>
      </c>
      <c r="B157" s="774"/>
      <c r="C157" s="774"/>
      <c r="D157" s="803" t="s">
        <v>279</v>
      </c>
      <c r="E157" s="803"/>
      <c r="F157" s="794">
        <f>VLOOKUP(F$155,'Calcul Hyd'!$C$3:$S$5,15,0)</f>
        <v>4.6900000000000004</v>
      </c>
      <c r="G157" s="795"/>
      <c r="H157" s="792">
        <f>VLOOKUP(H$155,'Calcul Hyd'!$C$3:$S$5,15,0)</f>
        <v>4.6900000000000004</v>
      </c>
      <c r="I157" s="793"/>
      <c r="Y157" s="8"/>
      <c r="Z157" s="8"/>
      <c r="AA157" s="8"/>
      <c r="AB157" s="8"/>
      <c r="AC157" s="8"/>
      <c r="AD157" s="8"/>
    </row>
    <row r="158" spans="1:30" ht="27" customHeight="1" x14ac:dyDescent="0.3">
      <c r="A158" s="774" t="s">
        <v>280</v>
      </c>
      <c r="B158" s="774"/>
      <c r="C158" s="774"/>
      <c r="D158" s="803" t="s">
        <v>281</v>
      </c>
      <c r="E158" s="803"/>
      <c r="F158" s="794">
        <f>VLOOKUP(F$155,'Calcul Hyd'!$C$3:$S$5,16,0)</f>
        <v>2.7715036112934999</v>
      </c>
      <c r="G158" s="795"/>
      <c r="H158" s="792">
        <f>VLOOKUP(H$155,'Calcul Hyd'!$C$3:$S$5,16,0)</f>
        <v>3.7723243598161527</v>
      </c>
      <c r="I158" s="793"/>
      <c r="Y158" s="8"/>
      <c r="Z158" s="8"/>
      <c r="AA158" s="8"/>
      <c r="AB158" s="8"/>
      <c r="AC158" s="8"/>
      <c r="AD158" s="8"/>
    </row>
    <row r="159" spans="1:30" ht="17.25" customHeight="1" x14ac:dyDescent="0.3">
      <c r="A159" s="32" t="s">
        <v>267</v>
      </c>
      <c r="B159" s="3"/>
      <c r="C159" s="3"/>
      <c r="D159" s="3"/>
      <c r="E159" s="3"/>
      <c r="F159" s="4"/>
      <c r="G159" s="4"/>
    </row>
    <row r="160" spans="1:30" ht="17.25" customHeight="1" x14ac:dyDescent="0.3">
      <c r="A160" s="32" t="s">
        <v>268</v>
      </c>
      <c r="B160" s="3"/>
      <c r="C160" s="3"/>
      <c r="D160" s="3"/>
      <c r="E160" s="3"/>
      <c r="F160" s="4"/>
      <c r="G160" s="4"/>
      <c r="O160" s="5"/>
      <c r="P160" s="5"/>
      <c r="Q160" s="5"/>
      <c r="R160" s="5"/>
      <c r="S160" s="5"/>
    </row>
    <row r="161" spans="1:30" ht="17.25" customHeight="1" x14ac:dyDescent="0.3">
      <c r="A161" s="32" t="s">
        <v>269</v>
      </c>
      <c r="B161" s="3"/>
      <c r="C161" s="3"/>
      <c r="D161" s="3"/>
      <c r="E161" s="3"/>
      <c r="F161" s="4"/>
      <c r="G161" s="4"/>
      <c r="O161" s="5"/>
      <c r="P161" s="5"/>
      <c r="Q161" s="5"/>
      <c r="R161" s="5"/>
      <c r="S161" s="5"/>
    </row>
    <row r="162" spans="1:30" ht="17.25" customHeight="1" x14ac:dyDescent="0.3">
      <c r="A162" s="32" t="s">
        <v>274</v>
      </c>
      <c r="B162" s="3"/>
      <c r="C162" s="3"/>
      <c r="D162" s="3"/>
      <c r="E162" s="3"/>
      <c r="F162" s="4"/>
      <c r="G162" s="4"/>
      <c r="O162" s="5"/>
      <c r="P162" s="5"/>
      <c r="Q162" s="5"/>
      <c r="R162" s="5"/>
      <c r="S162" s="5"/>
    </row>
    <row r="163" spans="1:30" ht="17.25" customHeight="1" x14ac:dyDescent="0.3">
      <c r="A163" s="32" t="s">
        <v>270</v>
      </c>
      <c r="B163" s="3"/>
      <c r="C163" s="3"/>
      <c r="D163" s="3"/>
      <c r="E163" s="3"/>
      <c r="F163" s="4"/>
      <c r="G163" s="4"/>
      <c r="O163" s="5"/>
      <c r="P163" s="5"/>
      <c r="Q163" s="5"/>
      <c r="R163" s="5"/>
      <c r="S163" s="5"/>
    </row>
    <row r="164" spans="1:30" ht="17.25" customHeight="1" x14ac:dyDescent="0.3">
      <c r="A164" s="32" t="s">
        <v>271</v>
      </c>
      <c r="B164" s="3"/>
      <c r="C164" s="3"/>
      <c r="D164" s="3"/>
      <c r="E164" s="3"/>
      <c r="F164" s="4"/>
      <c r="G164" s="4"/>
      <c r="O164" s="5"/>
      <c r="P164" s="5"/>
      <c r="Q164" s="5"/>
      <c r="R164" s="5"/>
      <c r="S164" s="5"/>
    </row>
    <row r="165" spans="1:30" ht="17.25" customHeight="1" x14ac:dyDescent="0.3">
      <c r="A165" s="32" t="s">
        <v>272</v>
      </c>
      <c r="B165" s="3"/>
      <c r="C165" s="3"/>
      <c r="D165" s="3"/>
      <c r="E165" s="3"/>
      <c r="F165" s="4"/>
      <c r="G165" s="4"/>
      <c r="R165" s="197"/>
    </row>
    <row r="166" spans="1:30" ht="17.25" customHeight="1" x14ac:dyDescent="0.3">
      <c r="A166" s="32" t="s">
        <v>273</v>
      </c>
      <c r="B166" s="3"/>
      <c r="C166" s="3"/>
      <c r="D166" s="3"/>
      <c r="E166" s="3"/>
      <c r="F166" s="4"/>
      <c r="G166" s="4"/>
      <c r="O166" s="5"/>
      <c r="P166" s="5"/>
      <c r="Q166" s="5"/>
      <c r="R166" s="5"/>
      <c r="S166" s="5"/>
    </row>
    <row r="167" spans="1:30" ht="15.6" customHeight="1" thickBot="1" x14ac:dyDescent="0.35">
      <c r="A167" s="9"/>
      <c r="B167" s="7"/>
      <c r="C167" s="7"/>
      <c r="D167" s="7"/>
      <c r="E167" s="7"/>
      <c r="F167" s="7"/>
      <c r="G167" s="7"/>
      <c r="H167" s="7"/>
      <c r="I167" s="7"/>
      <c r="J167" s="7"/>
      <c r="K167" s="7"/>
      <c r="L167" s="7"/>
      <c r="M167" s="7"/>
      <c r="O167" s="5"/>
      <c r="P167" s="5"/>
      <c r="Q167" s="5"/>
      <c r="R167" s="5"/>
      <c r="S167" s="5"/>
      <c r="W167" s="195"/>
      <c r="X167" s="195"/>
      <c r="Y167" s="8"/>
      <c r="Z167" s="8"/>
      <c r="AA167" s="8"/>
      <c r="AB167" s="8"/>
      <c r="AC167" s="8"/>
      <c r="AD167" s="8"/>
    </row>
    <row r="168" spans="1:30" ht="18" customHeight="1" thickBot="1" x14ac:dyDescent="0.35">
      <c r="A168" s="17" t="s">
        <v>54</v>
      </c>
      <c r="B168" s="3"/>
      <c r="C168" s="3"/>
      <c r="D168" s="3"/>
      <c r="E168" s="3"/>
      <c r="F168" s="4"/>
      <c r="G168" s="4"/>
      <c r="O168" s="785" t="s">
        <v>298</v>
      </c>
      <c r="P168" s="786"/>
      <c r="R168" s="290" t="s">
        <v>51</v>
      </c>
      <c r="S168" s="290" t="s">
        <v>222</v>
      </c>
    </row>
    <row r="169" spans="1:30" ht="18" customHeight="1" x14ac:dyDescent="0.3">
      <c r="A169" s="18" t="s">
        <v>55</v>
      </c>
      <c r="B169" s="3"/>
      <c r="C169" s="3"/>
      <c r="D169" s="3"/>
      <c r="E169" s="3"/>
      <c r="F169" s="4"/>
      <c r="G169" s="4"/>
      <c r="O169" s="201">
        <f>MAX($O$173:$O$182)</f>
        <v>21.722607709750569</v>
      </c>
      <c r="P169" s="787">
        <f>(O169-O170)/O170</f>
        <v>2.6101141924959294E-2</v>
      </c>
      <c r="R169" s="286" t="str">
        <f>F155</f>
        <v>Olivier</v>
      </c>
      <c r="S169" s="221">
        <f>IF(R169=0,"",(SUMIF($D$172:$E$185,R169,$H$172:$I$185)))</f>
        <v>14400</v>
      </c>
    </row>
    <row r="170" spans="1:30" s="37" customFormat="1" ht="18" customHeight="1" thickBot="1" x14ac:dyDescent="0.35">
      <c r="A170" s="772" t="s">
        <v>56</v>
      </c>
      <c r="B170" s="772"/>
      <c r="C170" s="772" t="s">
        <v>57</v>
      </c>
      <c r="D170" s="772" t="s">
        <v>51</v>
      </c>
      <c r="E170" s="772"/>
      <c r="F170" s="772" t="s">
        <v>58</v>
      </c>
      <c r="G170" s="772"/>
      <c r="H170" s="789" t="s">
        <v>59</v>
      </c>
      <c r="I170" s="772"/>
      <c r="J170" s="789" t="s">
        <v>60</v>
      </c>
      <c r="K170" s="772"/>
      <c r="L170" s="789" t="s">
        <v>61</v>
      </c>
      <c r="M170" s="772"/>
      <c r="N170" s="233"/>
      <c r="O170" s="202">
        <f>MIN($O$173:$O$182)</f>
        <v>21.170045351473924</v>
      </c>
      <c r="P170" s="788"/>
      <c r="Q170" s="196"/>
      <c r="R170" s="286" t="str">
        <f>H155</f>
        <v>Caroube</v>
      </c>
      <c r="S170" s="221">
        <f>IF(R170=0,"",(SUMIF($D$172:$E$185,R170,$H$172:$I$185)))</f>
        <v>14900</v>
      </c>
      <c r="T170" s="233"/>
      <c r="U170" s="233"/>
      <c r="V170" s="233"/>
      <c r="W170" s="203"/>
      <c r="X170" s="203"/>
    </row>
    <row r="171" spans="1:30" ht="18" customHeight="1" thickBot="1" x14ac:dyDescent="0.35">
      <c r="A171" s="772"/>
      <c r="B171" s="772"/>
      <c r="C171" s="772"/>
      <c r="D171" s="772"/>
      <c r="E171" s="772"/>
      <c r="F171" s="772"/>
      <c r="G171" s="772"/>
      <c r="H171" s="772"/>
      <c r="I171" s="772"/>
      <c r="J171" s="772"/>
      <c r="K171" s="772"/>
      <c r="L171" s="772"/>
      <c r="M171" s="772"/>
      <c r="O171" s="240">
        <f>F182</f>
        <v>7.5446487196323053</v>
      </c>
      <c r="P171" s="241" t="s">
        <v>300</v>
      </c>
      <c r="R171" s="286"/>
      <c r="S171" s="403" t="str">
        <f>IF(R171=0,"",(SUMIF($D$172:$E$185,R171,$H$172:$I$185)))</f>
        <v/>
      </c>
    </row>
    <row r="172" spans="1:30" ht="18" customHeight="1" x14ac:dyDescent="0.3">
      <c r="A172" s="839" t="s">
        <v>541</v>
      </c>
      <c r="B172" s="840"/>
      <c r="C172" s="141" t="s">
        <v>62</v>
      </c>
      <c r="D172" s="822" t="str">
        <f>R170</f>
        <v>Caroube</v>
      </c>
      <c r="E172" s="823"/>
      <c r="F172" s="828">
        <f>VLOOKUP(D172,'Calcul Hyd'!$C$2:$T$5,16,0)</f>
        <v>3.7723243598161527</v>
      </c>
      <c r="G172" s="829"/>
      <c r="H172" s="832">
        <v>7500</v>
      </c>
      <c r="I172" s="833"/>
      <c r="J172" s="816">
        <f>(H172/(VLOOKUP(D172,'Calcul Hyd'!$C$3:$R$5,9,FALSE)*VLOOKUP(D172,'Calcul Hyd'!$C$3:$R$5,3,FALSE))*VLOOKUP(D172,'Calcul Hyd'!$C$3:$R$5,5,FALSE))</f>
        <v>612.24489795918362</v>
      </c>
      <c r="K172" s="816"/>
      <c r="L172" s="836">
        <f>0.001*J172*VLOOKUP(D172,'Calcul Hyd'!$C$3:$R$5,8,FALSE)</f>
        <v>9.3244897959183657</v>
      </c>
      <c r="M172" s="836"/>
      <c r="Q172" s="232"/>
      <c r="R172" s="286"/>
      <c r="S172" s="403" t="str">
        <f>IF(R172=0,"",(SUMIF($D$172:$E$185,R172,$H$172:$I$185)))</f>
        <v/>
      </c>
    </row>
    <row r="173" spans="1:30" ht="18" customHeight="1" x14ac:dyDescent="0.3">
      <c r="A173" s="841"/>
      <c r="B173" s="842"/>
      <c r="C173" s="505" t="s">
        <v>63</v>
      </c>
      <c r="D173" s="822" t="str">
        <f>+R169</f>
        <v>Olivier</v>
      </c>
      <c r="E173" s="823"/>
      <c r="F173" s="830"/>
      <c r="G173" s="831"/>
      <c r="H173" s="832">
        <v>7000</v>
      </c>
      <c r="I173" s="833"/>
      <c r="J173" s="816">
        <f>(H173/(VLOOKUP(D173,'Calcul Hyd'!$C$3:$R$5,9,FALSE)*VLOOKUP(D173,'Calcul Hyd'!$C$3:$R$5,3,FALSE))*VLOOKUP(D173,'Calcul Hyd'!$C$3:$R$5,5,FALSE))</f>
        <v>777.77777777777783</v>
      </c>
      <c r="K173" s="816"/>
      <c r="L173" s="836">
        <f>0.001*J173*VLOOKUP(D173,'Calcul Hyd'!$C$3:$R$5,8,FALSE)</f>
        <v>11.845555555555556</v>
      </c>
      <c r="M173" s="836"/>
      <c r="P173" s="279"/>
      <c r="Q173" s="232"/>
    </row>
    <row r="174" spans="1:30" ht="18" hidden="1" customHeight="1" x14ac:dyDescent="0.3">
      <c r="A174" s="841"/>
      <c r="B174" s="842"/>
      <c r="C174" s="500"/>
      <c r="D174" s="822"/>
      <c r="E174" s="823"/>
      <c r="F174" s="830"/>
      <c r="G174" s="831"/>
      <c r="H174" s="832"/>
      <c r="I174" s="833"/>
      <c r="J174" s="816"/>
      <c r="K174" s="816"/>
      <c r="L174" s="836"/>
      <c r="M174" s="836"/>
      <c r="P174" s="279"/>
      <c r="Q174" s="232"/>
    </row>
    <row r="175" spans="1:30" ht="18" hidden="1" customHeight="1" x14ac:dyDescent="0.3">
      <c r="A175" s="841"/>
      <c r="B175" s="842"/>
      <c r="C175" s="501"/>
      <c r="D175" s="822"/>
      <c r="E175" s="823"/>
      <c r="F175" s="830"/>
      <c r="G175" s="831"/>
      <c r="H175" s="832"/>
      <c r="I175" s="833"/>
      <c r="J175" s="816"/>
      <c r="K175" s="816"/>
      <c r="L175" s="836"/>
      <c r="M175" s="836"/>
      <c r="Q175" s="232"/>
    </row>
    <row r="176" spans="1:30" ht="18" customHeight="1" x14ac:dyDescent="0.3">
      <c r="A176" s="819" t="s">
        <v>367</v>
      </c>
      <c r="B176" s="819"/>
      <c r="C176" s="819"/>
      <c r="D176" s="819"/>
      <c r="E176" s="819"/>
      <c r="F176" s="825">
        <f>SUM(F172:G175)</f>
        <v>3.7723243598161527</v>
      </c>
      <c r="G176" s="825"/>
      <c r="H176" s="703">
        <f>SUM(H172:I175)</f>
        <v>14500</v>
      </c>
      <c r="I176" s="703"/>
      <c r="J176" s="820">
        <f>SUM(J172:K175)</f>
        <v>1390.0226757369614</v>
      </c>
      <c r="K176" s="821"/>
      <c r="L176" s="701">
        <f>SUM(L172:M175)</f>
        <v>21.170045351473924</v>
      </c>
      <c r="M176" s="702"/>
      <c r="N176" s="232">
        <f>+L176*F176</f>
        <v>79.860277777777782</v>
      </c>
      <c r="O176" s="279">
        <f>L176</f>
        <v>21.170045351473924</v>
      </c>
    </row>
    <row r="177" spans="1:24" ht="18" customHeight="1" x14ac:dyDescent="0.3">
      <c r="A177" s="839" t="s">
        <v>542</v>
      </c>
      <c r="B177" s="840"/>
      <c r="C177" s="341" t="s">
        <v>64</v>
      </c>
      <c r="D177" s="822" t="str">
        <f>+R170</f>
        <v>Caroube</v>
      </c>
      <c r="E177" s="823"/>
      <c r="F177" s="828">
        <f>VLOOKUP(D177,'Calcul Hyd'!$C$2:$T$5,16,0)</f>
        <v>3.7723243598161527</v>
      </c>
      <c r="G177" s="829"/>
      <c r="H177" s="832">
        <v>7400</v>
      </c>
      <c r="I177" s="833"/>
      <c r="J177" s="816">
        <f>(H177/(VLOOKUP(D177,'Calcul Hyd'!$C$3:$R$5,9,FALSE)*VLOOKUP(D177,'Calcul Hyd'!$C$3:$R$5,3,FALSE))*VLOOKUP(D177,'Calcul Hyd'!$C$3:$R$5,5,FALSE))</f>
        <v>604.08163265306121</v>
      </c>
      <c r="K177" s="816"/>
      <c r="L177" s="836">
        <f>0.001*J177*VLOOKUP(D177,'Calcul Hyd'!$C$3:$R$5,8,FALSE)</f>
        <v>9.2001632653061236</v>
      </c>
      <c r="M177" s="836"/>
      <c r="O177" s="279"/>
      <c r="Q177" s="232"/>
    </row>
    <row r="178" spans="1:24" ht="18" customHeight="1" x14ac:dyDescent="0.3">
      <c r="A178" s="841"/>
      <c r="B178" s="842"/>
      <c r="C178" s="515" t="s">
        <v>555</v>
      </c>
      <c r="D178" s="822" t="str">
        <f>+R169</f>
        <v>Olivier</v>
      </c>
      <c r="E178" s="823"/>
      <c r="F178" s="830"/>
      <c r="G178" s="831"/>
      <c r="H178" s="832">
        <v>7400</v>
      </c>
      <c r="I178" s="833"/>
      <c r="J178" s="816">
        <f>(H178/(VLOOKUP(D178,'Calcul Hyd'!$C$3:$R$5,9,FALSE)*VLOOKUP(D178,'Calcul Hyd'!$C$3:$R$5,3,FALSE))*VLOOKUP(D178,'Calcul Hyd'!$C$3:$R$5,5,FALSE))</f>
        <v>822.22222222222217</v>
      </c>
      <c r="K178" s="816"/>
      <c r="L178" s="836">
        <f>0.001*J178*VLOOKUP(D178,'Calcul Hyd'!$C$3:$R$5,8,FALSE)</f>
        <v>12.522444444444444</v>
      </c>
      <c r="M178" s="836"/>
      <c r="P178" s="232"/>
      <c r="Q178" s="232"/>
      <c r="R178" s="232"/>
      <c r="S178" s="232"/>
    </row>
    <row r="179" spans="1:24" ht="18" hidden="1" customHeight="1" x14ac:dyDescent="0.3">
      <c r="A179" s="841"/>
      <c r="B179" s="842"/>
      <c r="C179" s="502"/>
      <c r="D179" s="822"/>
      <c r="E179" s="823"/>
      <c r="F179" s="830"/>
      <c r="G179" s="831"/>
      <c r="H179" s="832"/>
      <c r="I179" s="833"/>
      <c r="J179" s="816"/>
      <c r="K179" s="816"/>
      <c r="L179" s="836"/>
      <c r="M179" s="836"/>
      <c r="P179" s="232"/>
      <c r="R179" s="232"/>
      <c r="S179" s="232"/>
    </row>
    <row r="180" spans="1:24" ht="18" hidden="1" customHeight="1" x14ac:dyDescent="0.3">
      <c r="A180" s="841"/>
      <c r="B180" s="842"/>
      <c r="C180" s="501"/>
      <c r="D180" s="843"/>
      <c r="E180" s="844"/>
      <c r="F180" s="830"/>
      <c r="G180" s="831"/>
      <c r="H180" s="817"/>
      <c r="I180" s="818"/>
      <c r="J180" s="816"/>
      <c r="K180" s="816"/>
      <c r="L180" s="836"/>
      <c r="M180" s="836"/>
      <c r="R180" s="232"/>
      <c r="S180" s="232"/>
    </row>
    <row r="181" spans="1:24" ht="18" customHeight="1" x14ac:dyDescent="0.3">
      <c r="A181" s="819" t="s">
        <v>367</v>
      </c>
      <c r="B181" s="819"/>
      <c r="C181" s="819"/>
      <c r="D181" s="819"/>
      <c r="E181" s="819"/>
      <c r="F181" s="825">
        <f>SUM(F177:G180)</f>
        <v>3.7723243598161527</v>
      </c>
      <c r="G181" s="825"/>
      <c r="H181" s="703">
        <f>SUM(H177:I180)</f>
        <v>14800</v>
      </c>
      <c r="I181" s="703"/>
      <c r="J181" s="820">
        <f>SUM(J177:K180)</f>
        <v>1426.3038548752834</v>
      </c>
      <c r="K181" s="821"/>
      <c r="L181" s="701">
        <f>SUM(L177:M180)</f>
        <v>21.722607709750569</v>
      </c>
      <c r="M181" s="702"/>
      <c r="N181" s="232">
        <f>+L181*F181</f>
        <v>81.944722222222239</v>
      </c>
      <c r="O181" s="279">
        <f>L181</f>
        <v>21.722607709750569</v>
      </c>
      <c r="R181" s="232"/>
      <c r="S181" s="232"/>
    </row>
    <row r="182" spans="1:24" s="3" customFormat="1" ht="21" customHeight="1" x14ac:dyDescent="0.3">
      <c r="A182" s="715" t="s">
        <v>65</v>
      </c>
      <c r="B182" s="715"/>
      <c r="C182" s="715"/>
      <c r="D182" s="715"/>
      <c r="E182" s="715"/>
      <c r="F182" s="845">
        <f>SUMIF($A$172:$B$183,$A$176,F172:G183)</f>
        <v>7.5446487196323053</v>
      </c>
      <c r="G182" s="845"/>
      <c r="H182" s="837">
        <f>SUMIF($A$172:$B$183,$A$176,H172:I183)</f>
        <v>29300</v>
      </c>
      <c r="I182" s="837"/>
      <c r="J182" s="837">
        <f>SUMIF($A$172:$B$183,$A$176,J172:K183)</f>
        <v>2816.3265306122448</v>
      </c>
      <c r="K182" s="837"/>
      <c r="L182" s="845">
        <f>SUMIF($A$172:$B$183,$A$176,L172:M183)</f>
        <v>42.892653061224493</v>
      </c>
      <c r="M182" s="845"/>
      <c r="N182" s="845">
        <f ca="1">SUMIF($A$172:$B$183,$A$176,N172:N183)</f>
        <v>161.80500000000001</v>
      </c>
      <c r="O182" s="845"/>
      <c r="P182" s="233"/>
      <c r="Q182" s="196"/>
      <c r="R182" s="232"/>
      <c r="S182" s="232"/>
      <c r="T182" s="196"/>
      <c r="U182" s="196"/>
      <c r="V182" s="196"/>
      <c r="W182" s="195"/>
      <c r="X182" s="195"/>
    </row>
    <row r="183" spans="1:24" s="3" customFormat="1" ht="17.25" customHeight="1" x14ac:dyDescent="0.3">
      <c r="F183" s="39"/>
      <c r="G183" s="39"/>
      <c r="H183" s="5"/>
      <c r="I183" s="5"/>
      <c r="J183" s="5"/>
      <c r="K183" s="5"/>
      <c r="L183" s="5"/>
      <c r="M183" s="5"/>
      <c r="N183" s="204"/>
      <c r="O183" s="233"/>
      <c r="P183" s="207"/>
      <c r="Q183" s="196"/>
      <c r="R183" s="196"/>
      <c r="S183" s="196"/>
      <c r="T183" s="196"/>
      <c r="U183" s="196"/>
      <c r="V183" s="196"/>
      <c r="W183" s="195"/>
      <c r="X183" s="195"/>
    </row>
    <row r="184" spans="1:24" s="3" customFormat="1" ht="17.25" customHeight="1" x14ac:dyDescent="0.3">
      <c r="A184" s="18" t="s">
        <v>66</v>
      </c>
      <c r="B184" s="18"/>
      <c r="C184" s="18"/>
      <c r="D184" s="18"/>
      <c r="E184" s="18"/>
      <c r="F184" s="18"/>
      <c r="G184" s="18"/>
      <c r="H184" s="18"/>
      <c r="I184" s="18"/>
      <c r="J184" s="18"/>
      <c r="K184" s="18"/>
      <c r="L184" s="18"/>
      <c r="M184" s="40"/>
      <c r="N184" s="204"/>
      <c r="O184" s="196"/>
      <c r="P184" s="233"/>
      <c r="Q184" s="196"/>
      <c r="R184" s="233"/>
      <c r="S184" s="233"/>
      <c r="T184" s="196"/>
      <c r="U184" s="196"/>
      <c r="V184" s="196"/>
      <c r="W184" s="195"/>
      <c r="X184" s="195"/>
    </row>
    <row r="185" spans="1:24" s="3" customFormat="1" ht="6.75" customHeight="1" x14ac:dyDescent="0.3">
      <c r="F185" s="4"/>
      <c r="G185" s="4"/>
      <c r="H185" s="5"/>
      <c r="I185" s="5"/>
      <c r="J185" s="5"/>
      <c r="K185" s="5"/>
      <c r="L185" s="5"/>
      <c r="M185" s="5"/>
      <c r="N185" s="196"/>
      <c r="O185" s="196"/>
      <c r="P185" s="233"/>
      <c r="Q185" s="196"/>
      <c r="R185" s="233"/>
      <c r="S185" s="233"/>
      <c r="T185" s="196"/>
      <c r="U185" s="196"/>
      <c r="V185" s="196"/>
      <c r="W185" s="195"/>
      <c r="X185" s="195"/>
    </row>
    <row r="186" spans="1:24" ht="15.6" customHeight="1" x14ac:dyDescent="0.3">
      <c r="A186" s="862" t="s">
        <v>67</v>
      </c>
      <c r="B186" s="700"/>
      <c r="C186" s="700"/>
      <c r="D186" s="700"/>
      <c r="E186" s="700"/>
      <c r="F186" s="700"/>
      <c r="G186" s="700"/>
      <c r="H186" s="700"/>
      <c r="I186" s="700"/>
      <c r="J186" s="700"/>
      <c r="K186" s="700"/>
      <c r="L186" s="700"/>
      <c r="M186" s="700"/>
      <c r="P186" s="233"/>
      <c r="R186" s="233"/>
      <c r="S186" s="233"/>
    </row>
    <row r="187" spans="1:24" ht="6" customHeight="1" thickBot="1" x14ac:dyDescent="0.35">
      <c r="A187" s="43"/>
      <c r="B187" s="44"/>
      <c r="C187" s="44"/>
      <c r="D187" s="44"/>
      <c r="E187" s="44"/>
      <c r="F187" s="44"/>
      <c r="G187" s="44"/>
      <c r="H187" s="44"/>
      <c r="I187" s="44"/>
      <c r="J187" s="44"/>
      <c r="K187" s="44"/>
      <c r="L187" s="44"/>
      <c r="M187" s="44"/>
      <c r="P187" s="233"/>
      <c r="R187" s="233"/>
      <c r="S187" s="233"/>
    </row>
    <row r="188" spans="1:24" ht="18.75" customHeight="1" thickBot="1" x14ac:dyDescent="0.35">
      <c r="A188" s="3"/>
      <c r="B188" s="3"/>
      <c r="C188" s="3"/>
      <c r="E188" s="848" t="s">
        <v>68</v>
      </c>
      <c r="F188" s="849"/>
      <c r="G188" s="849"/>
      <c r="H188" s="850"/>
      <c r="I188" s="4"/>
      <c r="P188" s="233"/>
      <c r="R188" s="158"/>
      <c r="S188" s="233"/>
    </row>
    <row r="189" spans="1:24" ht="18" customHeight="1" x14ac:dyDescent="0.3">
      <c r="A189" s="41"/>
      <c r="B189" s="700" t="str">
        <f>CONCATENATE(F140," ",F141)</f>
        <v>Goutteur bouton autorégulant  PC JUNIOR 15L</v>
      </c>
      <c r="C189" s="700"/>
      <c r="D189" s="700"/>
      <c r="E189" s="700"/>
      <c r="F189" s="700"/>
      <c r="G189" s="700"/>
      <c r="H189" s="760" t="s">
        <v>556</v>
      </c>
      <c r="I189" s="760"/>
      <c r="J189" s="760"/>
      <c r="K189" s="760"/>
      <c r="L189" s="41"/>
      <c r="M189" s="41"/>
      <c r="P189" s="158"/>
      <c r="Q189" s="158"/>
    </row>
    <row r="190" spans="1:24" ht="18" hidden="1" customHeight="1" x14ac:dyDescent="0.3">
      <c r="A190" s="41"/>
      <c r="B190" s="700" t="str">
        <f>CONCATENATE(H140," ",H141)</f>
        <v>Goutteur bouton autorégulant  PC JUNIOR 15L</v>
      </c>
      <c r="C190" s="700"/>
      <c r="D190" s="700"/>
      <c r="E190" s="700"/>
      <c r="F190" s="700"/>
      <c r="G190" s="700"/>
      <c r="H190" s="760" t="s">
        <v>453</v>
      </c>
      <c r="I190" s="760"/>
      <c r="J190" s="760"/>
      <c r="K190" s="760"/>
      <c r="L190" s="41"/>
      <c r="M190" s="41"/>
      <c r="P190" s="158"/>
      <c r="Q190" s="158"/>
    </row>
    <row r="191" spans="1:24" s="41" customFormat="1" ht="16.5" customHeight="1" x14ac:dyDescent="0.3">
      <c r="C191" s="116" t="s">
        <v>70</v>
      </c>
      <c r="N191" s="158"/>
      <c r="O191" s="158"/>
      <c r="P191" s="158"/>
      <c r="Q191" s="158"/>
      <c r="R191" s="158"/>
      <c r="S191" s="158"/>
      <c r="T191" s="158"/>
      <c r="U191" s="158"/>
      <c r="V191" s="158"/>
      <c r="W191" s="158"/>
      <c r="X191" s="158"/>
    </row>
    <row r="192" spans="1:24" s="41" customFormat="1" ht="16.5" customHeight="1" x14ac:dyDescent="0.4">
      <c r="C192" s="42" t="s">
        <v>71</v>
      </c>
      <c r="E192" s="42"/>
      <c r="J192" s="291">
        <v>30</v>
      </c>
      <c r="K192" s="292" t="s">
        <v>283</v>
      </c>
      <c r="L192" s="55" t="s">
        <v>557</v>
      </c>
      <c r="N192" s="158"/>
      <c r="O192" s="158"/>
      <c r="P192" s="158"/>
      <c r="Q192" s="158"/>
      <c r="R192" s="158"/>
      <c r="S192" s="158"/>
      <c r="T192" s="158"/>
      <c r="U192" s="158"/>
      <c r="V192" s="158"/>
      <c r="W192" s="158"/>
      <c r="X192" s="158"/>
    </row>
    <row r="193" spans="1:24" s="41" customFormat="1" ht="16.5" hidden="1" customHeight="1" x14ac:dyDescent="0.4">
      <c r="C193" s="42" t="s">
        <v>71</v>
      </c>
      <c r="E193" s="42"/>
      <c r="J193" s="291">
        <v>2.12</v>
      </c>
      <c r="K193" s="292" t="s">
        <v>283</v>
      </c>
      <c r="L193" s="55" t="s">
        <v>411</v>
      </c>
      <c r="N193" s="158"/>
      <c r="O193" s="158"/>
      <c r="P193" s="158"/>
      <c r="Q193" s="158"/>
      <c r="R193" s="158"/>
      <c r="S193" s="158"/>
      <c r="T193" s="158"/>
      <c r="U193" s="158"/>
      <c r="V193" s="158"/>
      <c r="W193" s="158"/>
      <c r="X193" s="158"/>
    </row>
    <row r="194" spans="1:24" ht="15.75" customHeight="1" x14ac:dyDescent="0.3">
      <c r="B194" s="42" t="s">
        <v>72</v>
      </c>
      <c r="C194" s="41"/>
      <c r="D194" s="41"/>
      <c r="E194" s="41"/>
      <c r="F194" s="41"/>
      <c r="G194" s="41"/>
      <c r="H194" s="41"/>
      <c r="I194" s="41"/>
      <c r="J194" s="41"/>
      <c r="K194" s="41"/>
      <c r="L194" s="41"/>
      <c r="M194" s="46"/>
      <c r="Q194" s="158"/>
    </row>
    <row r="195" spans="1:24" s="41" customFormat="1" ht="18" x14ac:dyDescent="0.4">
      <c r="B195" s="42" t="s">
        <v>73</v>
      </c>
      <c r="M195" s="46"/>
      <c r="N195" s="158"/>
      <c r="O195" s="158"/>
      <c r="P195" s="158"/>
      <c r="Q195" s="158"/>
      <c r="R195" s="158"/>
      <c r="S195" s="158"/>
      <c r="T195" s="158"/>
      <c r="U195" s="158"/>
      <c r="V195" s="158"/>
      <c r="W195" s="158"/>
      <c r="X195" s="158"/>
    </row>
    <row r="196" spans="1:24" s="41" customFormat="1" ht="18" x14ac:dyDescent="0.4">
      <c r="B196" s="42" t="s">
        <v>282</v>
      </c>
      <c r="M196" s="46"/>
      <c r="N196" s="158"/>
      <c r="O196" s="158"/>
      <c r="P196" s="196"/>
      <c r="Q196" s="158"/>
      <c r="R196" s="158"/>
      <c r="S196" s="158"/>
      <c r="T196" s="158"/>
      <c r="U196" s="158"/>
      <c r="V196" s="158"/>
      <c r="W196" s="158"/>
      <c r="X196" s="158"/>
    </row>
    <row r="197" spans="1:24" s="41" customFormat="1" ht="6.75" customHeight="1" thickBot="1" x14ac:dyDescent="0.35">
      <c r="N197" s="158"/>
      <c r="O197" s="158"/>
      <c r="P197" s="158"/>
      <c r="Q197" s="158"/>
      <c r="R197" s="158"/>
      <c r="S197" s="158"/>
      <c r="T197" s="158"/>
      <c r="U197" s="158"/>
      <c r="V197" s="158"/>
      <c r="W197" s="158"/>
      <c r="X197" s="158"/>
    </row>
    <row r="198" spans="1:24" s="41" customFormat="1" ht="20.25" customHeight="1" thickBot="1" x14ac:dyDescent="0.45">
      <c r="A198" s="23"/>
      <c r="B198" s="36"/>
      <c r="C198" s="47"/>
      <c r="D198" s="48"/>
      <c r="E198" s="48"/>
      <c r="F198" s="48"/>
      <c r="G198" s="49" t="s">
        <v>74</v>
      </c>
      <c r="H198" s="48"/>
      <c r="I198" s="48"/>
      <c r="J198" s="48"/>
      <c r="K198" s="50"/>
      <c r="L198" s="37"/>
      <c r="M198" s="37"/>
      <c r="N198" s="158"/>
      <c r="O198" s="158"/>
      <c r="P198" s="158"/>
      <c r="Q198" s="158"/>
      <c r="R198" s="158"/>
      <c r="S198" s="158"/>
      <c r="T198" s="158"/>
      <c r="U198" s="158"/>
      <c r="V198" s="158"/>
      <c r="W198" s="158"/>
      <c r="X198" s="158"/>
    </row>
    <row r="199" spans="1:24" s="41" customFormat="1" ht="6.75" customHeight="1" x14ac:dyDescent="0.3">
      <c r="A199" s="51"/>
      <c r="B199"/>
      <c r="C199"/>
      <c r="D199"/>
      <c r="E199" s="3"/>
      <c r="F199" s="4"/>
      <c r="G199" s="4"/>
      <c r="H199" s="5"/>
      <c r="I199" s="5"/>
      <c r="J199" s="5"/>
      <c r="K199" s="5"/>
      <c r="L199" s="5"/>
      <c r="M199" s="5"/>
      <c r="N199" s="205"/>
      <c r="O199" s="158"/>
      <c r="P199" s="158"/>
      <c r="Q199" s="158"/>
      <c r="R199" s="158"/>
      <c r="S199" s="158"/>
      <c r="T199" s="158"/>
      <c r="U199" s="158"/>
      <c r="V199" s="158"/>
      <c r="W199" s="158"/>
      <c r="X199" s="158"/>
    </row>
    <row r="200" spans="1:24" s="41" customFormat="1" ht="13.8" x14ac:dyDescent="0.25">
      <c r="A200" s="52" t="s">
        <v>75</v>
      </c>
      <c r="B200" s="53"/>
      <c r="C200" s="53"/>
      <c r="D200" s="53"/>
      <c r="E200" s="54"/>
      <c r="F200" s="55"/>
      <c r="G200" s="55"/>
      <c r="H200" s="19"/>
      <c r="I200" s="37"/>
      <c r="J200" s="37"/>
      <c r="K200" s="37"/>
      <c r="L200" s="37"/>
      <c r="M200" s="37"/>
      <c r="N200" s="158"/>
      <c r="O200" s="205"/>
      <c r="P200" s="158"/>
      <c r="Q200" s="158"/>
      <c r="R200" s="158"/>
      <c r="S200" s="158"/>
      <c r="T200" s="158"/>
      <c r="U200" s="158"/>
      <c r="V200" s="158"/>
      <c r="W200" s="158"/>
      <c r="X200" s="158"/>
    </row>
    <row r="201" spans="1:24" s="37" customFormat="1" ht="21" customHeight="1" x14ac:dyDescent="0.25">
      <c r="A201" s="52" t="s">
        <v>76</v>
      </c>
      <c r="B201" s="53"/>
      <c r="C201" s="53"/>
      <c r="D201" s="53"/>
      <c r="E201" s="54"/>
      <c r="F201" s="55"/>
      <c r="G201" s="55"/>
      <c r="H201" s="19"/>
      <c r="N201" s="233"/>
      <c r="O201" s="233"/>
      <c r="P201" s="233"/>
      <c r="Q201" s="158"/>
      <c r="R201" s="233"/>
      <c r="S201" s="233"/>
      <c r="T201" s="233"/>
      <c r="U201" s="233"/>
      <c r="V201" s="233"/>
      <c r="W201" s="203"/>
      <c r="X201" s="203"/>
    </row>
    <row r="202" spans="1:24" ht="15.6" customHeight="1" x14ac:dyDescent="0.25">
      <c r="A202" s="52" t="s">
        <v>77</v>
      </c>
      <c r="B202" s="53"/>
      <c r="C202" s="53"/>
      <c r="D202" s="53"/>
      <c r="E202" s="54"/>
      <c r="F202" s="55"/>
      <c r="G202" s="55"/>
      <c r="H202" s="19"/>
      <c r="I202" s="37"/>
      <c r="J202" s="37"/>
      <c r="K202" s="37"/>
      <c r="L202" s="37"/>
      <c r="M202" s="37"/>
    </row>
    <row r="203" spans="1:24" s="37" customFormat="1" ht="15.6" customHeight="1" x14ac:dyDescent="0.25">
      <c r="A203" s="52" t="s">
        <v>78</v>
      </c>
      <c r="B203" s="53"/>
      <c r="C203" s="53"/>
      <c r="D203" s="53"/>
      <c r="E203" s="54"/>
      <c r="F203" s="55"/>
      <c r="G203" s="55"/>
      <c r="H203" s="19"/>
      <c r="N203" s="233"/>
      <c r="O203" s="233"/>
      <c r="P203" s="233"/>
      <c r="Q203" s="233"/>
      <c r="R203" s="233"/>
      <c r="S203" s="233"/>
      <c r="T203" s="233"/>
      <c r="U203" s="233"/>
      <c r="V203" s="233"/>
      <c r="W203" s="203"/>
      <c r="X203" s="203"/>
    </row>
    <row r="204" spans="1:24" s="37" customFormat="1" ht="12.75" customHeight="1" x14ac:dyDescent="0.3">
      <c r="A204" s="56"/>
      <c r="B204" s="3"/>
      <c r="C204" s="3"/>
      <c r="D204" s="3"/>
      <c r="E204" s="3"/>
      <c r="F204" s="4"/>
      <c r="G204" s="4"/>
      <c r="H204" s="5"/>
      <c r="I204" s="5"/>
      <c r="J204" s="5"/>
      <c r="K204" s="5"/>
      <c r="L204" s="5"/>
      <c r="M204" s="5"/>
      <c r="N204" s="233"/>
      <c r="O204" s="233"/>
      <c r="P204" s="233"/>
      <c r="Q204" s="233"/>
      <c r="R204" s="233"/>
      <c r="S204" s="233"/>
      <c r="T204" s="233"/>
      <c r="U204" s="233"/>
      <c r="V204" s="233"/>
      <c r="W204" s="203"/>
      <c r="X204" s="203"/>
    </row>
    <row r="205" spans="1:24" s="37" customFormat="1" ht="15.6" customHeight="1" x14ac:dyDescent="0.3">
      <c r="A205" s="760" t="s">
        <v>79</v>
      </c>
      <c r="B205" s="760"/>
      <c r="C205" s="760"/>
      <c r="D205" s="760"/>
      <c r="E205" s="3"/>
      <c r="F205" s="4"/>
      <c r="G205" s="4"/>
      <c r="H205" s="5"/>
      <c r="I205" s="5"/>
      <c r="J205" s="5"/>
      <c r="K205" s="5"/>
      <c r="L205" s="5"/>
      <c r="M205" s="5"/>
      <c r="N205" s="233"/>
      <c r="O205" s="233"/>
      <c r="P205" s="233"/>
      <c r="Q205" s="233"/>
      <c r="R205" s="233"/>
      <c r="S205" s="233"/>
      <c r="T205" s="233"/>
      <c r="U205" s="233"/>
      <c r="V205" s="233"/>
      <c r="W205" s="203"/>
      <c r="X205" s="203"/>
    </row>
    <row r="206" spans="1:24" s="37" customFormat="1" ht="15.6" customHeight="1" x14ac:dyDescent="0.3">
      <c r="A206" s="862" t="s">
        <v>80</v>
      </c>
      <c r="B206" s="700"/>
      <c r="C206" s="700"/>
      <c r="D206" s="700"/>
      <c r="E206" s="700"/>
      <c r="F206" s="700"/>
      <c r="G206" s="700"/>
      <c r="H206" s="700"/>
      <c r="I206" s="700"/>
      <c r="J206" s="700"/>
      <c r="K206" s="700"/>
      <c r="L206" s="700"/>
      <c r="M206" s="700"/>
      <c r="N206" s="233"/>
      <c r="O206" s="233"/>
      <c r="P206" s="233"/>
      <c r="Q206" s="233"/>
      <c r="R206" s="233"/>
      <c r="S206" s="233"/>
      <c r="T206" s="233"/>
      <c r="U206" s="233"/>
      <c r="V206" s="233"/>
      <c r="W206" s="203"/>
      <c r="X206" s="203"/>
    </row>
    <row r="207" spans="1:24" ht="15.6" customHeight="1" x14ac:dyDescent="0.3">
      <c r="A207" s="700"/>
      <c r="B207" s="700"/>
      <c r="C207" s="700"/>
      <c r="D207" s="700"/>
      <c r="E207" s="700"/>
      <c r="F207" s="700"/>
      <c r="G207" s="700"/>
      <c r="H207" s="700"/>
      <c r="I207" s="700"/>
      <c r="J207" s="700"/>
      <c r="K207" s="700"/>
      <c r="L207" s="700"/>
      <c r="M207" s="700"/>
    </row>
    <row r="208" spans="1:24" ht="15.6" customHeight="1" x14ac:dyDescent="0.3">
      <c r="A208" s="700" t="s">
        <v>81</v>
      </c>
      <c r="B208" s="700"/>
      <c r="C208" s="700"/>
      <c r="D208" s="700"/>
      <c r="E208" s="700"/>
      <c r="F208" s="700"/>
      <c r="G208" s="700"/>
      <c r="H208" s="700"/>
      <c r="I208" s="700"/>
      <c r="J208" s="700"/>
      <c r="K208" s="700"/>
      <c r="L208" s="700"/>
      <c r="M208" s="700"/>
    </row>
    <row r="209" spans="1:24" ht="5.25" customHeight="1" thickBot="1" x14ac:dyDescent="0.35">
      <c r="A209" s="57"/>
      <c r="B209"/>
      <c r="C209"/>
      <c r="D209"/>
      <c r="E209" s="3"/>
      <c r="F209" s="4"/>
      <c r="G209" s="4"/>
    </row>
    <row r="210" spans="1:24" ht="15.6" customHeight="1" thickBot="1" x14ac:dyDescent="0.35">
      <c r="A210" s="20" t="s">
        <v>82</v>
      </c>
      <c r="B210"/>
      <c r="C210"/>
      <c r="D210" s="20" t="s">
        <v>83</v>
      </c>
      <c r="E210" s="860" t="s">
        <v>84</v>
      </c>
      <c r="F210" s="861"/>
      <c r="G210" s="4"/>
    </row>
    <row r="211" spans="1:24" ht="15.6" customHeight="1" x14ac:dyDescent="0.3">
      <c r="A211" s="32" t="s">
        <v>85</v>
      </c>
      <c r="B211" s="58"/>
      <c r="C211" s="58"/>
      <c r="D211" s="58"/>
      <c r="E211" s="3"/>
      <c r="F211" s="4"/>
      <c r="G211" s="4"/>
    </row>
    <row r="212" spans="1:24" ht="15.6" customHeight="1" x14ac:dyDescent="0.3">
      <c r="A212" s="32" t="s">
        <v>86</v>
      </c>
      <c r="B212" s="58"/>
      <c r="C212" s="58"/>
      <c r="D212" s="58"/>
      <c r="E212" s="3"/>
      <c r="F212" s="4"/>
      <c r="G212" s="4"/>
    </row>
    <row r="213" spans="1:24" ht="17.25" customHeight="1" x14ac:dyDescent="0.3">
      <c r="A213" s="32" t="s">
        <v>87</v>
      </c>
      <c r="B213" s="58"/>
      <c r="C213" s="58"/>
      <c r="D213" s="58"/>
      <c r="E213" s="3"/>
      <c r="F213" s="4"/>
      <c r="G213" s="4"/>
    </row>
    <row r="214" spans="1:24" ht="15.6" customHeight="1" x14ac:dyDescent="0.3">
      <c r="A214" s="59"/>
      <c r="B214" s="59"/>
      <c r="C214" s="59"/>
      <c r="D214" s="59"/>
      <c r="E214" s="59"/>
      <c r="F214" s="60"/>
      <c r="G214" s="60"/>
      <c r="H214" s="61"/>
      <c r="I214" s="61"/>
    </row>
    <row r="215" spans="1:24" ht="15.6" customHeight="1" x14ac:dyDescent="0.3">
      <c r="A215" s="18" t="s">
        <v>88</v>
      </c>
      <c r="B215"/>
      <c r="C215"/>
      <c r="D215"/>
      <c r="E215" s="3"/>
      <c r="F215" s="4"/>
      <c r="G215" s="4"/>
    </row>
    <row r="216" spans="1:24" s="2" customFormat="1" ht="15.6" customHeight="1" x14ac:dyDescent="0.3">
      <c r="A216" s="824" t="s">
        <v>89</v>
      </c>
      <c r="B216" s="296" t="s">
        <v>90</v>
      </c>
      <c r="C216" s="826" t="s">
        <v>91</v>
      </c>
      <c r="D216" s="827"/>
      <c r="E216" s="834" t="s">
        <v>349</v>
      </c>
      <c r="F216" s="834" t="s">
        <v>92</v>
      </c>
      <c r="G216" s="297" t="s">
        <v>93</v>
      </c>
      <c r="H216" s="296" t="s">
        <v>94</v>
      </c>
      <c r="I216" s="296" t="s">
        <v>95</v>
      </c>
      <c r="J216" s="826" t="s">
        <v>96</v>
      </c>
      <c r="K216" s="827"/>
      <c r="L216" s="826" t="s">
        <v>97</v>
      </c>
      <c r="M216" s="827"/>
      <c r="N216" s="196"/>
      <c r="O216" s="881" t="s">
        <v>51</v>
      </c>
      <c r="Q216" s="196"/>
      <c r="R216" s="196"/>
      <c r="S216" s="196"/>
      <c r="T216" s="196"/>
      <c r="U216" s="196"/>
      <c r="V216" s="196"/>
      <c r="W216" s="196"/>
      <c r="X216" s="196"/>
    </row>
    <row r="217" spans="1:24" s="2" customFormat="1" ht="15.6" customHeight="1" x14ac:dyDescent="0.3">
      <c r="A217" s="824"/>
      <c r="B217" s="298" t="s">
        <v>98</v>
      </c>
      <c r="C217" s="846" t="s">
        <v>99</v>
      </c>
      <c r="D217" s="847"/>
      <c r="E217" s="835"/>
      <c r="F217" s="835"/>
      <c r="G217" s="299" t="s">
        <v>100</v>
      </c>
      <c r="H217" s="298" t="s">
        <v>98</v>
      </c>
      <c r="I217" s="298" t="s">
        <v>101</v>
      </c>
      <c r="J217" s="846" t="s">
        <v>102</v>
      </c>
      <c r="K217" s="847"/>
      <c r="L217" s="846" t="s">
        <v>102</v>
      </c>
      <c r="M217" s="847"/>
      <c r="N217" s="196"/>
      <c r="O217" s="882"/>
      <c r="Q217" s="196"/>
      <c r="R217" s="196"/>
      <c r="S217" s="196"/>
      <c r="T217" s="196"/>
      <c r="U217" s="196"/>
      <c r="V217" s="196"/>
      <c r="W217" s="196"/>
      <c r="X217" s="196"/>
    </row>
    <row r="218" spans="1:24" ht="15" customHeight="1" x14ac:dyDescent="0.3">
      <c r="A218" s="698" t="str">
        <f>poste_order(A218)</f>
        <v>P1</v>
      </c>
      <c r="B218" s="287">
        <v>66</v>
      </c>
      <c r="C218" s="704">
        <f>B218/(VLOOKUP(O218,'Calcul Hyd'!$C$3:$R$5,9,FALSE)/VLOOKUP(O218,'Calcul Hyd'!$C$3:$R$5,8,FALSE))</f>
        <v>287.19428571428574</v>
      </c>
      <c r="D218" s="704"/>
      <c r="E218" s="288">
        <f t="shared" ref="E218" si="0">(4*(C218/3600000))/(3.14*(G218/1000)^2)</f>
        <v>0.51189589963252058</v>
      </c>
      <c r="F218" s="288">
        <f t="shared" ref="F218" si="1">L218/B218*100</f>
        <v>0</v>
      </c>
      <c r="G218" s="121">
        <v>14.09</v>
      </c>
      <c r="H218" s="127">
        <f t="shared" ref="H218" si="2">+IF(F218&lt;0,0,B218)</f>
        <v>66</v>
      </c>
      <c r="I218" s="127">
        <f t="shared" ref="I218" si="3">IF(F218&gt;=0,0,B218-H218)</f>
        <v>0</v>
      </c>
      <c r="J218" s="704">
        <f t="shared" ref="J218" si="4">(0.478*POWER(G218,-4.75)*POWER(C218,1.75)/2.75*B218)*1.1+L218</f>
        <v>0.88208867573501915</v>
      </c>
      <c r="K218" s="704">
        <f t="shared" ref="K218" si="5">(0.478*POWER(H218,-4.75)*POWER(E218,1.75)/2.75*D218)*1.1+L218</f>
        <v>0</v>
      </c>
      <c r="L218" s="705">
        <v>0</v>
      </c>
      <c r="M218" s="706"/>
      <c r="N218" s="196" t="str">
        <f>mcv(A218)</f>
        <v>P1</v>
      </c>
      <c r="O218" s="221" t="str">
        <f t="shared" ref="O218:O225" si="6">VLOOKUP(N218,$C$172:$M$187,2,0)</f>
        <v>Caroube</v>
      </c>
      <c r="P218" s="5"/>
    </row>
    <row r="219" spans="1:24" ht="15" customHeight="1" x14ac:dyDescent="0.3">
      <c r="A219" s="699"/>
      <c r="B219" s="287">
        <v>65</v>
      </c>
      <c r="C219" s="704">
        <f>B219/(VLOOKUP(O219,'Calcul Hyd'!$C$3:$R$5,9,FALSE)/VLOOKUP(O219,'Calcul Hyd'!$C$3:$R$5,8,FALSE))</f>
        <v>282.84285714285716</v>
      </c>
      <c r="D219" s="704"/>
      <c r="E219" s="391">
        <f t="shared" ref="E219" si="7">(4*(C219/3600000))/(3.14*(G219/1000)^2)</f>
        <v>0.50413990115323981</v>
      </c>
      <c r="F219" s="391">
        <f t="shared" ref="F219" si="8">L219/B219*100</f>
        <v>0</v>
      </c>
      <c r="G219" s="121">
        <v>14.09</v>
      </c>
      <c r="H219" s="127">
        <f t="shared" ref="H219" si="9">+IF(F219&lt;0,0,B219)</f>
        <v>65</v>
      </c>
      <c r="I219" s="127">
        <f t="shared" ref="I219" si="10">IF(F219&gt;=0,0,B219-H219)</f>
        <v>0</v>
      </c>
      <c r="J219" s="704">
        <f t="shared" ref="J219" si="11">(0.478*POWER(G219,-4.75)*POWER(C219,1.75)/2.75*B219)*1.1+L219</f>
        <v>0.84582039835136891</v>
      </c>
      <c r="K219" s="704">
        <f t="shared" ref="K219" si="12">(0.478*POWER(H219,-4.75)*POWER(E219,1.75)/2.75*D219)*1.1+L219</f>
        <v>0</v>
      </c>
      <c r="L219" s="705">
        <v>0</v>
      </c>
      <c r="M219" s="706"/>
      <c r="N219" s="196" t="str">
        <f t="shared" ref="N219:N225" si="13">mcv(A219)</f>
        <v>P1</v>
      </c>
      <c r="O219" s="506" t="str">
        <f t="shared" si="6"/>
        <v>Caroube</v>
      </c>
      <c r="P219" s="5"/>
    </row>
    <row r="220" spans="1:24" ht="15.6" customHeight="1" x14ac:dyDescent="0.3">
      <c r="A220" s="698" t="str">
        <f>poste_order(A220)</f>
        <v>P2</v>
      </c>
      <c r="B220" s="287">
        <v>65</v>
      </c>
      <c r="C220" s="707">
        <f>B220/(VLOOKUP(O220,'Calcul Hyd'!$C$3:$R$5,9,FALSE)/VLOOKUP(O220,'Calcul Hyd'!$C$3:$R$5,8,FALSE))</f>
        <v>329.98333333333335</v>
      </c>
      <c r="D220" s="708"/>
      <c r="E220" s="288">
        <f t="shared" ref="E220:E223" si="14">(4*(C220/3600000))/(3.14*(G220/1000)^2)</f>
        <v>0.58816321801211324</v>
      </c>
      <c r="F220" s="288">
        <f t="shared" ref="F220:F225" si="15">L220/B220*100</f>
        <v>0</v>
      </c>
      <c r="G220" s="121">
        <v>14.09</v>
      </c>
      <c r="H220" s="127">
        <f t="shared" ref="H220:H223" si="16">+IF(F220&lt;0,0,B220)</f>
        <v>65</v>
      </c>
      <c r="I220" s="127">
        <f t="shared" ref="I220:I223" si="17">IF(F220&gt;=0,0,B220-H220)</f>
        <v>0</v>
      </c>
      <c r="J220" s="704">
        <f t="shared" ref="J220:J225" si="18">(0.478*POWER(G220,-4.75)*POWER(C220,1.75)/2.75*B220)*1.1+L220</f>
        <v>1.107732853927996</v>
      </c>
      <c r="K220" s="704">
        <f t="shared" ref="K220:K225" si="19">(0.478*POWER(H220,-4.75)*POWER(E220,1.75)/2.75*D220)*1.1+L220</f>
        <v>0</v>
      </c>
      <c r="L220" s="705">
        <v>0</v>
      </c>
      <c r="M220" s="706"/>
      <c r="N220" s="196" t="str">
        <f t="shared" si="13"/>
        <v>P2</v>
      </c>
      <c r="O220" s="506" t="str">
        <f t="shared" si="6"/>
        <v>Olivier</v>
      </c>
      <c r="P220" s="5"/>
    </row>
    <row r="221" spans="1:24" ht="15" customHeight="1" x14ac:dyDescent="0.3">
      <c r="A221" s="699"/>
      <c r="B221" s="287">
        <v>65</v>
      </c>
      <c r="C221" s="707">
        <f>B221/(VLOOKUP(O221,'Calcul Hyd'!$C$3:$R$5,9,FALSE)/VLOOKUP(O221,'Calcul Hyd'!$C$3:$R$5,8,FALSE))</f>
        <v>329.98333333333335</v>
      </c>
      <c r="D221" s="708"/>
      <c r="E221" s="391">
        <f t="shared" si="14"/>
        <v>0.58816321801211324</v>
      </c>
      <c r="F221" s="391">
        <f t="shared" si="15"/>
        <v>0</v>
      </c>
      <c r="G221" s="121">
        <v>14.09</v>
      </c>
      <c r="H221" s="127">
        <f t="shared" si="16"/>
        <v>65</v>
      </c>
      <c r="I221" s="127">
        <f t="shared" si="17"/>
        <v>0</v>
      </c>
      <c r="J221" s="704">
        <f t="shared" si="18"/>
        <v>1.107732853927996</v>
      </c>
      <c r="K221" s="704">
        <f t="shared" si="19"/>
        <v>0</v>
      </c>
      <c r="L221" s="705">
        <v>0</v>
      </c>
      <c r="M221" s="706"/>
      <c r="N221" s="196" t="str">
        <f t="shared" si="13"/>
        <v>P2</v>
      </c>
      <c r="O221" s="506" t="str">
        <f t="shared" si="6"/>
        <v>Olivier</v>
      </c>
      <c r="P221" s="5"/>
    </row>
    <row r="222" spans="1:24" ht="15.6" customHeight="1" x14ac:dyDescent="0.3">
      <c r="A222" s="698" t="str">
        <f t="shared" ref="A222:A224" si="20">poste_order(A222)</f>
        <v>P3</v>
      </c>
      <c r="B222" s="287">
        <v>61</v>
      </c>
      <c r="C222" s="704">
        <f>B222/(VLOOKUP(O222,'Calcul Hyd'!$C$3:$R$5,9,FALSE)/VLOOKUP(O222,'Calcul Hyd'!$C$3:$R$5,8,FALSE))</f>
        <v>265.43714285714287</v>
      </c>
      <c r="D222" s="704"/>
      <c r="E222" s="516">
        <f t="shared" si="14"/>
        <v>0.47311590723611741</v>
      </c>
      <c r="F222" s="516">
        <f t="shared" si="15"/>
        <v>0</v>
      </c>
      <c r="G222" s="121">
        <v>14.09</v>
      </c>
      <c r="H222" s="127">
        <f t="shared" si="16"/>
        <v>61</v>
      </c>
      <c r="I222" s="127">
        <f t="shared" si="17"/>
        <v>0</v>
      </c>
      <c r="J222" s="704">
        <f t="shared" si="18"/>
        <v>0.71026999772879973</v>
      </c>
      <c r="K222" s="704">
        <f t="shared" si="19"/>
        <v>0</v>
      </c>
      <c r="L222" s="705">
        <v>0</v>
      </c>
      <c r="M222" s="706"/>
      <c r="N222" s="196" t="str">
        <f t="shared" ref="N222:N223" si="21">mcv(A222)</f>
        <v>P3</v>
      </c>
      <c r="O222" s="514" t="str">
        <f t="shared" ref="O222:O223" si="22">VLOOKUP(N222,$C$172:$M$187,2,0)</f>
        <v>Caroube</v>
      </c>
      <c r="P222" s="5"/>
    </row>
    <row r="223" spans="1:24" ht="15" customHeight="1" x14ac:dyDescent="0.3">
      <c r="A223" s="699"/>
      <c r="B223" s="287">
        <v>72</v>
      </c>
      <c r="C223" s="704">
        <f>B223/(VLOOKUP(O223,'Calcul Hyd'!$C$3:$R$5,9,FALSE)/VLOOKUP(O223,'Calcul Hyd'!$C$3:$R$5,8,FALSE))</f>
        <v>313.30285714285719</v>
      </c>
      <c r="D223" s="704"/>
      <c r="E223" s="516">
        <f t="shared" si="14"/>
        <v>0.5584318905082043</v>
      </c>
      <c r="F223" s="516">
        <f t="shared" si="15"/>
        <v>0</v>
      </c>
      <c r="G223" s="121">
        <v>14.09</v>
      </c>
      <c r="H223" s="127">
        <f t="shared" si="16"/>
        <v>72</v>
      </c>
      <c r="I223" s="127">
        <f t="shared" si="17"/>
        <v>0</v>
      </c>
      <c r="J223" s="704">
        <f t="shared" si="18"/>
        <v>1.1205488367296772</v>
      </c>
      <c r="K223" s="704">
        <f t="shared" si="19"/>
        <v>0</v>
      </c>
      <c r="L223" s="705">
        <v>0</v>
      </c>
      <c r="M223" s="706"/>
      <c r="N223" s="196" t="str">
        <f t="shared" si="21"/>
        <v>P3</v>
      </c>
      <c r="O223" s="514" t="str">
        <f t="shared" si="22"/>
        <v>Caroube</v>
      </c>
      <c r="P223" s="5"/>
    </row>
    <row r="224" spans="1:24" ht="15.6" customHeight="1" x14ac:dyDescent="0.3">
      <c r="A224" s="698" t="str">
        <f t="shared" si="20"/>
        <v>P4</v>
      </c>
      <c r="B224" s="287">
        <v>61</v>
      </c>
      <c r="C224" s="704">
        <f>B224/(VLOOKUP(O224,'Calcul Hyd'!$C$3:$R$5,9,FALSE)/VLOOKUP(O224,'Calcul Hyd'!$C$3:$R$5,8,FALSE))</f>
        <v>309.67666666666668</v>
      </c>
      <c r="D224" s="704"/>
      <c r="E224" s="391">
        <f t="shared" ref="E224" si="23">(4*(C224/3600000))/(3.14*(G224/1000)^2)</f>
        <v>0.55196855844213699</v>
      </c>
      <c r="F224" s="391">
        <f t="shared" si="15"/>
        <v>0</v>
      </c>
      <c r="G224" s="121">
        <v>14.09</v>
      </c>
      <c r="H224" s="127">
        <f t="shared" ref="H224" si="24">+IF(F224&lt;0,0,B224)</f>
        <v>61</v>
      </c>
      <c r="I224" s="127">
        <f t="shared" ref="I224" si="25">IF(F224&gt;=0,0,B224-H224)</f>
        <v>0</v>
      </c>
      <c r="J224" s="704">
        <f t="shared" si="18"/>
        <v>0.93020860359613622</v>
      </c>
      <c r="K224" s="704">
        <f t="shared" si="19"/>
        <v>0</v>
      </c>
      <c r="L224" s="705">
        <v>0</v>
      </c>
      <c r="M224" s="706"/>
      <c r="N224" s="196" t="str">
        <f t="shared" si="13"/>
        <v>P4</v>
      </c>
      <c r="O224" s="506" t="str">
        <f t="shared" si="6"/>
        <v>Olivier</v>
      </c>
      <c r="P224" s="5"/>
    </row>
    <row r="225" spans="1:43" ht="15" customHeight="1" x14ac:dyDescent="0.3">
      <c r="A225" s="699"/>
      <c r="B225" s="287">
        <v>61</v>
      </c>
      <c r="C225" s="704">
        <f>B225/(VLOOKUP(O225,'Calcul Hyd'!$C$3:$R$5,9,FALSE)/VLOOKUP(O225,'Calcul Hyd'!$C$3:$R$5,8,FALSE))</f>
        <v>309.67666666666668</v>
      </c>
      <c r="D225" s="704"/>
      <c r="E225" s="464">
        <f t="shared" ref="E225" si="26">(4*(C225/3600000))/(3.14*(G225/1000)^2)</f>
        <v>0.55196855844213699</v>
      </c>
      <c r="F225" s="464">
        <f t="shared" si="15"/>
        <v>0</v>
      </c>
      <c r="G225" s="121">
        <v>14.09</v>
      </c>
      <c r="H225" s="127">
        <f t="shared" ref="H225" si="27">+IF(F225&lt;0,0,B225)</f>
        <v>61</v>
      </c>
      <c r="I225" s="127">
        <f t="shared" ref="I225" si="28">IF(F225&gt;=0,0,B225-H225)</f>
        <v>0</v>
      </c>
      <c r="J225" s="704">
        <f t="shared" si="18"/>
        <v>0.93020860359613622</v>
      </c>
      <c r="K225" s="704">
        <f t="shared" si="19"/>
        <v>0</v>
      </c>
      <c r="L225" s="705">
        <v>0</v>
      </c>
      <c r="M225" s="706"/>
      <c r="N225" s="196" t="str">
        <f t="shared" si="13"/>
        <v>P4</v>
      </c>
      <c r="O225" s="506" t="str">
        <f t="shared" si="6"/>
        <v>Olivier</v>
      </c>
      <c r="P225" s="5"/>
    </row>
    <row r="226" spans="1:43" ht="15" customHeight="1" x14ac:dyDescent="0.3">
      <c r="A226" s="32" t="s">
        <v>105</v>
      </c>
      <c r="R226" s="205"/>
    </row>
    <row r="227" spans="1:43" ht="15" customHeight="1" x14ac:dyDescent="0.3">
      <c r="A227" s="32" t="s">
        <v>106</v>
      </c>
      <c r="Q227" s="232"/>
    </row>
    <row r="228" spans="1:43" ht="15" customHeight="1" x14ac:dyDescent="0.3">
      <c r="A228" s="32" t="s">
        <v>107</v>
      </c>
      <c r="N228" s="205"/>
      <c r="O228" s="205"/>
      <c r="P228" s="205"/>
      <c r="Q228" s="205"/>
      <c r="R228" s="205"/>
    </row>
    <row r="229" spans="1:43" ht="15.75" customHeight="1" x14ac:dyDescent="0.3">
      <c r="A229" s="32" t="s">
        <v>108</v>
      </c>
      <c r="P229" s="204"/>
    </row>
    <row r="230" spans="1:43" ht="15.75" customHeight="1" x14ac:dyDescent="0.3">
      <c r="A230" s="32" t="s">
        <v>109</v>
      </c>
      <c r="P230" s="204"/>
    </row>
    <row r="231" spans="1:43" ht="15.75" customHeight="1" x14ac:dyDescent="0.3">
      <c r="A231" s="32" t="s">
        <v>110</v>
      </c>
      <c r="P231" s="204"/>
    </row>
    <row r="232" spans="1:43" ht="13.5" customHeight="1" x14ac:dyDescent="0.3">
      <c r="A232" s="32" t="s">
        <v>111</v>
      </c>
      <c r="P232" s="204"/>
    </row>
    <row r="233" spans="1:43" ht="13.5" customHeight="1" x14ac:dyDescent="0.3">
      <c r="A233" s="19"/>
      <c r="B233" s="41"/>
      <c r="C233" s="63"/>
      <c r="D233" s="63"/>
      <c r="E233" s="64"/>
      <c r="F233" s="41"/>
      <c r="G233" s="41"/>
      <c r="H233" s="41"/>
      <c r="I233" s="62"/>
      <c r="J233" s="41"/>
      <c r="K233" s="41"/>
      <c r="L233" s="41"/>
      <c r="M233" s="41"/>
    </row>
    <row r="234" spans="1:43" ht="13.5" customHeight="1" x14ac:dyDescent="0.3">
      <c r="A234" s="18" t="s">
        <v>112</v>
      </c>
      <c r="B234" s="41"/>
      <c r="C234" s="63"/>
      <c r="D234" s="63"/>
      <c r="E234" s="64"/>
      <c r="F234" s="41"/>
      <c r="G234" s="41"/>
      <c r="H234" s="41"/>
      <c r="I234" s="41"/>
      <c r="J234" s="41"/>
      <c r="K234" s="41"/>
      <c r="L234" s="41"/>
      <c r="M234" s="41"/>
    </row>
    <row r="235" spans="1:43" s="53" customFormat="1" ht="21.75" customHeight="1" x14ac:dyDescent="0.25">
      <c r="A235" s="665" t="s">
        <v>89</v>
      </c>
      <c r="B235" s="665" t="s">
        <v>305</v>
      </c>
      <c r="C235" s="665" t="s">
        <v>339</v>
      </c>
      <c r="D235" s="665" t="s">
        <v>301</v>
      </c>
      <c r="E235" s="883" t="s">
        <v>306</v>
      </c>
      <c r="F235" s="884"/>
      <c r="G235" s="884"/>
      <c r="H235" s="884"/>
      <c r="I235" s="885"/>
      <c r="J235" s="709" t="s">
        <v>302</v>
      </c>
      <c r="K235" s="709" t="s">
        <v>303</v>
      </c>
      <c r="L235" s="709" t="s">
        <v>325</v>
      </c>
      <c r="M235" s="709" t="s">
        <v>323</v>
      </c>
      <c r="N235" s="196"/>
      <c r="O235" s="878" t="s">
        <v>484</v>
      </c>
      <c r="P235" s="879"/>
      <c r="Q235" s="879"/>
      <c r="R235" s="879"/>
      <c r="S235" s="879"/>
      <c r="T235" s="879"/>
      <c r="U235" s="879"/>
      <c r="V235" s="879"/>
      <c r="W235" s="879"/>
      <c r="X235" s="879"/>
      <c r="Y235" s="880"/>
      <c r="AA235" s="643" t="s">
        <v>307</v>
      </c>
      <c r="AB235" s="644"/>
      <c r="AC235" s="644"/>
      <c r="AD235" s="644"/>
      <c r="AE235" s="645"/>
      <c r="AG235" s="51"/>
      <c r="AN235" s="51"/>
      <c r="AO235" s="51"/>
      <c r="AP235" s="51"/>
      <c r="AQ235" s="51"/>
    </row>
    <row r="236" spans="1:43" s="53" customFormat="1" ht="21.75" customHeight="1" x14ac:dyDescent="0.25">
      <c r="A236" s="666"/>
      <c r="B236" s="666"/>
      <c r="C236" s="666"/>
      <c r="D236" s="666"/>
      <c r="E236" s="143">
        <v>110</v>
      </c>
      <c r="F236" s="143">
        <v>90</v>
      </c>
      <c r="G236" s="143">
        <v>75</v>
      </c>
      <c r="H236" s="143">
        <v>63</v>
      </c>
      <c r="I236" s="143">
        <v>50</v>
      </c>
      <c r="J236" s="710"/>
      <c r="K236" s="710"/>
      <c r="L236" s="710"/>
      <c r="M236" s="710"/>
      <c r="N236" s="196"/>
      <c r="O236" s="634" t="s">
        <v>308</v>
      </c>
      <c r="P236" s="635"/>
      <c r="Q236" s="634" t="s">
        <v>309</v>
      </c>
      <c r="R236" s="635"/>
      <c r="S236" s="634" t="s">
        <v>310</v>
      </c>
      <c r="T236" s="635"/>
      <c r="U236" s="634" t="s">
        <v>311</v>
      </c>
      <c r="V236" s="635"/>
      <c r="W236" s="634" t="s">
        <v>312</v>
      </c>
      <c r="X236" s="635"/>
      <c r="Y236" s="381" t="s">
        <v>480</v>
      </c>
      <c r="AA236" s="221" t="s">
        <v>313</v>
      </c>
      <c r="AB236" s="221" t="s">
        <v>314</v>
      </c>
      <c r="AC236" s="221" t="s">
        <v>315</v>
      </c>
      <c r="AD236" s="221" t="s">
        <v>316</v>
      </c>
      <c r="AE236" s="221" t="s">
        <v>317</v>
      </c>
      <c r="AG236" s="51"/>
      <c r="AN236" s="51"/>
      <c r="AO236" s="51"/>
      <c r="AP236" s="51"/>
      <c r="AQ236" s="51"/>
    </row>
    <row r="237" spans="1:43" s="53" customFormat="1" ht="18" customHeight="1" x14ac:dyDescent="0.3">
      <c r="A237" s="493" t="str">
        <f>poste_order(A237)</f>
        <v>P1</v>
      </c>
      <c r="B237" s="327">
        <v>59</v>
      </c>
      <c r="C237" s="254">
        <f t="shared" ref="C237:C240" si="29">VLOOKUP(A237,$C$172:$M$186,10,0)</f>
        <v>9.3244897959183657</v>
      </c>
      <c r="D237" s="124">
        <f t="shared" ref="D237:D239" si="30">M237/B237*100</f>
        <v>0</v>
      </c>
      <c r="E237" s="126">
        <f t="shared" ref="E237:E239" si="31">P237</f>
        <v>0</v>
      </c>
      <c r="F237" s="302">
        <f t="shared" ref="F237:F239" si="32">R237</f>
        <v>0</v>
      </c>
      <c r="G237" s="126">
        <f t="shared" ref="G237:G239" si="33">T237</f>
        <v>0</v>
      </c>
      <c r="H237" s="302">
        <f t="shared" ref="H237:H239" si="34">V237</f>
        <v>24</v>
      </c>
      <c r="I237" s="126">
        <f t="shared" ref="I237:I239" si="35">X237</f>
        <v>35</v>
      </c>
      <c r="J237" s="142">
        <f>+IF(D237&lt;0,0,B237)</f>
        <v>59</v>
      </c>
      <c r="K237" s="122">
        <f>IF(D237&gt;=0,0,B237-J237)</f>
        <v>0</v>
      </c>
      <c r="L237" s="125">
        <f t="shared" ref="L237:L239" si="36">M237+Y237</f>
        <v>0.43400185296182897</v>
      </c>
      <c r="M237" s="328">
        <v>0</v>
      </c>
      <c r="N237" s="232">
        <f>ABS(M237)</f>
        <v>0</v>
      </c>
      <c r="O237" s="383">
        <f t="shared" ref="O237:O239" si="37">C237*1000</f>
        <v>9324.4897959183654</v>
      </c>
      <c r="P237" s="382">
        <f>IF(C237&lt;='Diamétre Interieur'!$F$7/1000,0,ROUNDUP(((C237-('Diamétre Interieur'!$F$7/1000))/(C237/B237))/6,0)*6)</f>
        <v>0</v>
      </c>
      <c r="Q237" s="383">
        <f t="shared" ref="Q237:Q239" si="38">O237-((O237*P237)/B237)</f>
        <v>9324.4897959183654</v>
      </c>
      <c r="R237" s="382">
        <f>IF(C237&lt;='Diamétre Interieur'!$F$6/1000,0,ROUNDUP(((Q237/1000-('Diamétre Interieur'!$F$6/1000))/(C237/B237))/6,0)*6)</f>
        <v>0</v>
      </c>
      <c r="S237" s="383">
        <f t="shared" ref="S237:S239" si="39">Q237-((O237*R237)/B237)</f>
        <v>9324.4897959183654</v>
      </c>
      <c r="T237" s="382">
        <f>IF(C237&lt;='Diamétre Interieur'!$F$5/1000,0,ROUNDUP(((S237/1000-('Diamétre Interieur'!$F$5/1000))/(C237/B237))/6,0)*6)</f>
        <v>0</v>
      </c>
      <c r="U237" s="383">
        <f t="shared" ref="U237:U239" si="40">S237-((O237*T237)/B237)</f>
        <v>9324.4897959183654</v>
      </c>
      <c r="V237" s="382">
        <v>24</v>
      </c>
      <c r="W237" s="383">
        <f t="shared" ref="W237:W239" si="41">U237-((O237*V237)/B237)</f>
        <v>5531.4769975786912</v>
      </c>
      <c r="X237" s="382">
        <f t="shared" ref="X237:X239" si="42">B237-(P237+R237+T237+V237)</f>
        <v>35</v>
      </c>
      <c r="Y237" s="381">
        <f t="shared" ref="Y237:Y239" si="43">(((((103.6^-4.75)*(O237^1.75)*P237)+((84.4^-4.75)*(Q237^1.75)*R237)+((70.4^-4.75)*(S237^1.75)*T237)+((59^-4.75)*(U237^1.75)*V237)+((46.8^-4.75)*(W237^1.75)*X237))*0.478)/2.75)*1.1+Z237</f>
        <v>0.43400185296182897</v>
      </c>
      <c r="AA237" s="123" t="str">
        <f t="shared" ref="AA237:AA239" si="44">IF(P237=0,"",(4*O237/3600000)/(PI()*(103.6/1000)^2))</f>
        <v/>
      </c>
      <c r="AB237" s="123" t="str">
        <f t="shared" ref="AB237:AB239" si="45">IF(R237=0,"",((4*Q237/3600000)/(PI()*(103.6/1000)^2)))</f>
        <v/>
      </c>
      <c r="AC237" s="123" t="str">
        <f t="shared" ref="AC237:AC239" si="46">IF(T237=0,"",((4*S237/3600000)/(PI()*(70.4/1000)^2)))</f>
        <v/>
      </c>
      <c r="AD237" s="123">
        <f t="shared" ref="AD237:AD239" si="47">IF(V237=0,"",((4*U237/3600000)/(PI()*(59/1000)^2)))</f>
        <v>0.947389730173543</v>
      </c>
      <c r="AE237" s="123">
        <f t="shared" ref="AE237:AE239" si="48">(4*W237/3600000)/(PI()*(46.8/1000)^2)</f>
        <v>0.8932170870810352</v>
      </c>
      <c r="AG237" s="51"/>
      <c r="AN237" s="51"/>
      <c r="AO237" s="51"/>
      <c r="AP237" s="51"/>
      <c r="AQ237" s="51"/>
    </row>
    <row r="238" spans="1:43" s="53" customFormat="1" ht="18" customHeight="1" x14ac:dyDescent="0.3">
      <c r="A238" s="493" t="str">
        <f t="shared" ref="A238:A240" si="49">poste_order(A238)</f>
        <v>P2</v>
      </c>
      <c r="B238" s="327">
        <v>64</v>
      </c>
      <c r="C238" s="254">
        <f t="shared" si="29"/>
        <v>11.845555555555556</v>
      </c>
      <c r="D238" s="124">
        <f t="shared" si="30"/>
        <v>0</v>
      </c>
      <c r="E238" s="126">
        <f t="shared" si="31"/>
        <v>0</v>
      </c>
      <c r="F238" s="302">
        <f t="shared" si="32"/>
        <v>0</v>
      </c>
      <c r="G238" s="126">
        <f t="shared" si="33"/>
        <v>0</v>
      </c>
      <c r="H238" s="302">
        <f t="shared" si="34"/>
        <v>24</v>
      </c>
      <c r="I238" s="126">
        <f t="shared" si="35"/>
        <v>40</v>
      </c>
      <c r="J238" s="142">
        <f t="shared" ref="J238:J239" si="50">+IF(D238&lt;0,0,B238)</f>
        <v>64</v>
      </c>
      <c r="K238" s="122">
        <f t="shared" ref="K238:K239" si="51">IF(D238&gt;=0,0,B238-J238)</f>
        <v>0</v>
      </c>
      <c r="L238" s="125">
        <f t="shared" si="36"/>
        <v>0.76575460818877739</v>
      </c>
      <c r="M238" s="328">
        <v>0</v>
      </c>
      <c r="N238" s="232">
        <f t="shared" ref="N238:N239" si="52">ABS(M238)</f>
        <v>0</v>
      </c>
      <c r="O238" s="383">
        <f t="shared" si="37"/>
        <v>11845.555555555557</v>
      </c>
      <c r="P238" s="382">
        <f>IF(C238&lt;='Diamétre Interieur'!$F$7/1000,0,ROUNDUP(((C238-('Diamétre Interieur'!$F$7/1000))/(C238/B238))/6,0)*6)</f>
        <v>0</v>
      </c>
      <c r="Q238" s="383">
        <f t="shared" si="38"/>
        <v>11845.555555555557</v>
      </c>
      <c r="R238" s="382">
        <f>IF(C238&lt;='Diamétre Interieur'!$F$6/1000,0,ROUNDUP(((Q238/1000-('Diamétre Interieur'!$F$6/1000))/(C238/B238))/6,0)*6)</f>
        <v>0</v>
      </c>
      <c r="S238" s="383">
        <f t="shared" si="39"/>
        <v>11845.555555555557</v>
      </c>
      <c r="T238" s="382">
        <f>IF(C238&lt;='Diamétre Interieur'!$F$5/1000,0,ROUNDUP(((S238/1000-('Diamétre Interieur'!$F$5/1000))/(C238/B238))/6,0)*6)</f>
        <v>0</v>
      </c>
      <c r="U238" s="383">
        <f t="shared" si="40"/>
        <v>11845.555555555557</v>
      </c>
      <c r="V238" s="382">
        <v>24</v>
      </c>
      <c r="W238" s="383">
        <f t="shared" si="41"/>
        <v>7403.4722222222226</v>
      </c>
      <c r="X238" s="382">
        <f t="shared" si="42"/>
        <v>40</v>
      </c>
      <c r="Y238" s="381">
        <f t="shared" si="43"/>
        <v>0.76575460818877739</v>
      </c>
      <c r="AA238" s="123" t="str">
        <f t="shared" si="44"/>
        <v/>
      </c>
      <c r="AB238" s="123" t="str">
        <f t="shared" si="45"/>
        <v/>
      </c>
      <c r="AC238" s="123" t="str">
        <f t="shared" si="46"/>
        <v/>
      </c>
      <c r="AD238" s="123">
        <f t="shared" si="47"/>
        <v>1.2035358424056495</v>
      </c>
      <c r="AE238" s="123">
        <f t="shared" si="48"/>
        <v>1.1955049068292931</v>
      </c>
      <c r="AG238" s="51"/>
      <c r="AN238" s="51"/>
      <c r="AO238" s="51"/>
      <c r="AP238" s="51"/>
      <c r="AQ238" s="51"/>
    </row>
    <row r="239" spans="1:43" s="53" customFormat="1" ht="18" customHeight="1" x14ac:dyDescent="0.3">
      <c r="A239" s="493" t="str">
        <f t="shared" si="49"/>
        <v>P3</v>
      </c>
      <c r="B239" s="327">
        <v>65</v>
      </c>
      <c r="C239" s="254">
        <f t="shared" ref="C239" si="53">VLOOKUP(A239,$C$172:$M$186,10,0)</f>
        <v>9.2001632653061236</v>
      </c>
      <c r="D239" s="124">
        <f t="shared" si="30"/>
        <v>0</v>
      </c>
      <c r="E239" s="126">
        <f t="shared" si="31"/>
        <v>0</v>
      </c>
      <c r="F239" s="302">
        <f t="shared" si="32"/>
        <v>0</v>
      </c>
      <c r="G239" s="126">
        <f t="shared" si="33"/>
        <v>0</v>
      </c>
      <c r="H239" s="302">
        <f t="shared" si="34"/>
        <v>24</v>
      </c>
      <c r="I239" s="126">
        <f t="shared" si="35"/>
        <v>41</v>
      </c>
      <c r="J239" s="142">
        <f t="shared" si="50"/>
        <v>65</v>
      </c>
      <c r="K239" s="122">
        <f t="shared" si="51"/>
        <v>0</v>
      </c>
      <c r="L239" s="125">
        <f t="shared" si="36"/>
        <v>0.50612930880811247</v>
      </c>
      <c r="M239" s="328">
        <v>0</v>
      </c>
      <c r="N239" s="232">
        <f t="shared" si="52"/>
        <v>0</v>
      </c>
      <c r="O239" s="383">
        <f t="shared" si="37"/>
        <v>9200.1632653061242</v>
      </c>
      <c r="P239" s="382">
        <f>IF(C239&lt;='Diamétre Interieur'!$F$7/1000,0,ROUNDUP(((C239-('Diamétre Interieur'!$F$7/1000))/(C239/B239))/6,0)*6)</f>
        <v>0</v>
      </c>
      <c r="Q239" s="383">
        <f t="shared" si="38"/>
        <v>9200.1632653061242</v>
      </c>
      <c r="R239" s="382">
        <f>IF(C239&lt;='Diamétre Interieur'!$F$6/1000,0,ROUNDUP(((Q239/1000-('Diamétre Interieur'!$F$6/1000))/(C239/B239))/6,0)*6)</f>
        <v>0</v>
      </c>
      <c r="S239" s="383">
        <f t="shared" si="39"/>
        <v>9200.1632653061242</v>
      </c>
      <c r="T239" s="382">
        <f>IF(C239&lt;='Diamétre Interieur'!$F$5/1000,0,ROUNDUP(((S239/1000-('Diamétre Interieur'!$F$5/1000))/(C239/B239))/6,0)*6)</f>
        <v>0</v>
      </c>
      <c r="U239" s="383">
        <f t="shared" si="40"/>
        <v>9200.1632653061242</v>
      </c>
      <c r="V239" s="382">
        <v>24</v>
      </c>
      <c r="W239" s="383">
        <f t="shared" si="41"/>
        <v>5803.179905808478</v>
      </c>
      <c r="X239" s="382">
        <f t="shared" si="42"/>
        <v>41</v>
      </c>
      <c r="Y239" s="381">
        <f t="shared" si="43"/>
        <v>0.50612930880811247</v>
      </c>
      <c r="AA239" s="123" t="str">
        <f t="shared" si="44"/>
        <v/>
      </c>
      <c r="AB239" s="123" t="str">
        <f t="shared" si="45"/>
        <v/>
      </c>
      <c r="AC239" s="123" t="str">
        <f t="shared" si="46"/>
        <v/>
      </c>
      <c r="AD239" s="123">
        <f t="shared" si="47"/>
        <v>0.93475786710456277</v>
      </c>
      <c r="AE239" s="123">
        <f t="shared" si="48"/>
        <v>0.93709138690126204</v>
      </c>
      <c r="AG239" s="51"/>
      <c r="AN239" s="51"/>
      <c r="AO239" s="51"/>
      <c r="AP239" s="51"/>
      <c r="AQ239" s="51"/>
    </row>
    <row r="240" spans="1:43" s="53" customFormat="1" ht="18" customHeight="1" x14ac:dyDescent="0.3">
      <c r="A240" s="493" t="str">
        <f t="shared" si="49"/>
        <v>P4</v>
      </c>
      <c r="B240" s="327">
        <v>66</v>
      </c>
      <c r="C240" s="254">
        <f t="shared" si="29"/>
        <v>12.522444444444444</v>
      </c>
      <c r="D240" s="124">
        <f t="shared" ref="D240" si="54">M240/B240*100</f>
        <v>0</v>
      </c>
      <c r="E240" s="126">
        <f t="shared" ref="E240" si="55">P240</f>
        <v>0</v>
      </c>
      <c r="F240" s="302">
        <f t="shared" ref="F240" si="56">R240</f>
        <v>0</v>
      </c>
      <c r="G240" s="126">
        <f t="shared" ref="G240" si="57">T240</f>
        <v>0</v>
      </c>
      <c r="H240" s="302">
        <f t="shared" ref="H240" si="58">V240</f>
        <v>24</v>
      </c>
      <c r="I240" s="126">
        <f t="shared" ref="I240" si="59">X240</f>
        <v>42</v>
      </c>
      <c r="J240" s="142">
        <f t="shared" ref="J240" si="60">+IF(D240&lt;0,0,B240)</f>
        <v>66</v>
      </c>
      <c r="K240" s="122">
        <f t="shared" ref="K240" si="61">IF(D240&gt;=0,0,B240-J240)</f>
        <v>0</v>
      </c>
      <c r="L240" s="125">
        <f t="shared" ref="L240" si="62">M240+Y240</f>
        <v>0.89249461338995939</v>
      </c>
      <c r="M240" s="328">
        <v>0</v>
      </c>
      <c r="N240" s="232">
        <f t="shared" ref="N240" si="63">ABS(M240)</f>
        <v>0</v>
      </c>
      <c r="O240" s="383">
        <f t="shared" ref="O240" si="64">C240*1000</f>
        <v>12522.444444444443</v>
      </c>
      <c r="P240" s="382">
        <f>IF(C240&lt;='Diamétre Interieur'!$F$7/1000,0,ROUNDUP(((C240-('Diamétre Interieur'!$F$7/1000))/(C240/B240))/6,0)*6)</f>
        <v>0</v>
      </c>
      <c r="Q240" s="383">
        <f t="shared" ref="Q240" si="65">O240-((O240*P240)/B240)</f>
        <v>12522.444444444443</v>
      </c>
      <c r="R240" s="382">
        <f>IF(C240&lt;='Diamétre Interieur'!$F$6/1000,0,ROUNDUP(((Q240/1000-('Diamétre Interieur'!$F$6/1000))/(C240/B240))/6,0)*6)</f>
        <v>0</v>
      </c>
      <c r="S240" s="383">
        <f t="shared" ref="S240" si="66">Q240-((O240*R240)/B240)</f>
        <v>12522.444444444443</v>
      </c>
      <c r="T240" s="382">
        <f>IF(C240&lt;='Diamétre Interieur'!$F$5/1000,0,ROUNDUP(((S240/1000-('Diamétre Interieur'!$F$5/1000))/(C240/B240))/6,0)*6)</f>
        <v>0</v>
      </c>
      <c r="U240" s="383">
        <f t="shared" ref="U240" si="67">S240-((O240*T240)/B240)</f>
        <v>12522.444444444443</v>
      </c>
      <c r="V240" s="382">
        <v>24</v>
      </c>
      <c r="W240" s="383">
        <f t="shared" ref="W240" si="68">U240-((O240*V240)/B240)</f>
        <v>7968.8282828282827</v>
      </c>
      <c r="X240" s="382">
        <f t="shared" ref="X240" si="69">B240-(P240+R240+T240+V240)</f>
        <v>42</v>
      </c>
      <c r="Y240" s="381">
        <f t="shared" ref="Y240" si="70">(((((103.6^-4.75)*(O240^1.75)*P240)+((84.4^-4.75)*(Q240^1.75)*R240)+((70.4^-4.75)*(S240^1.75)*T240)+((59^-4.75)*(U240^1.75)*V240)+((46.8^-4.75)*(W240^1.75)*X240))*0.478)/2.75)*1.1+Z240</f>
        <v>0.89249461338995939</v>
      </c>
      <c r="AA240" s="123" t="str">
        <f t="shared" ref="AA240" si="71">IF(P240=0,"",(4*O240/3600000)/(PI()*(103.6/1000)^2))</f>
        <v/>
      </c>
      <c r="AB240" s="123" t="str">
        <f t="shared" ref="AB240" si="72">IF(R240=0,"",((4*Q240/3600000)/(PI()*(103.6/1000)^2)))</f>
        <v/>
      </c>
      <c r="AC240" s="123" t="str">
        <f t="shared" ref="AC240" si="73">IF(T240=0,"",((4*S240/3600000)/(PI()*(70.4/1000)^2)))</f>
        <v/>
      </c>
      <c r="AD240" s="123">
        <f t="shared" ref="AD240" si="74">IF(V240=0,"",((4*U240/3600000)/(PI()*(59/1000)^2)))</f>
        <v>1.2723093191145436</v>
      </c>
      <c r="AE240" s="123">
        <f t="shared" ref="AE240" si="75">(4*W240/3600000)/(PI()*(46.8/1000)^2)</f>
        <v>1.2867980088053481</v>
      </c>
      <c r="AG240" s="51"/>
      <c r="AN240" s="51"/>
      <c r="AO240" s="51"/>
      <c r="AP240" s="51"/>
      <c r="AQ240" s="51"/>
    </row>
    <row r="241" spans="1:43" s="53" customFormat="1" ht="12" customHeight="1" x14ac:dyDescent="0.25">
      <c r="A241" s="658" t="s">
        <v>406</v>
      </c>
      <c r="B241" s="659"/>
      <c r="C241" s="659"/>
      <c r="D241" s="659"/>
      <c r="E241" s="339"/>
      <c r="F241" s="340"/>
      <c r="G241" s="340"/>
      <c r="H241" s="340"/>
      <c r="I241" s="340"/>
      <c r="J241" s="336"/>
      <c r="K241" s="336"/>
      <c r="L241" s="336"/>
      <c r="M241" s="337"/>
      <c r="N241" s="196"/>
      <c r="O241" s="384"/>
      <c r="P241" s="382">
        <f>IF(C241&lt;='Diamétre Interieur'!$F$7/1000,0,ROUNDUP(((C241-('Diamétre Interieur'!$F$7/1000))/(C241/B241))/6,0)*6)</f>
        <v>0</v>
      </c>
      <c r="Q241" s="385"/>
      <c r="R241" s="382">
        <f>IF(C241&lt;='Diamétre Interieur'!$F$6/1000,0,ROUNDUP(((Q241/1000-('Diamétre Interieur'!$F$6/1000))/(C241/B241))/6,0)*6)</f>
        <v>0</v>
      </c>
      <c r="S241" s="386"/>
      <c r="T241" s="382">
        <f>IF(C241&lt;='Diamétre Interieur'!$F$5/1000,0,ROUNDUP(((S241/1000-('Diamétre Interieur'!$F$5/1000))/(C241/B241))/6,0)*6)</f>
        <v>0</v>
      </c>
      <c r="U241" s="386"/>
      <c r="V241" s="382">
        <f>IF(C241&lt;='Diamétre Interieur'!$F$4/1000,0,ROUNDUP(((U241/1000-('Diamétre Interieur'!$F$4/1000))/(C241/B241))/6,0)*6)</f>
        <v>0</v>
      </c>
      <c r="W241" s="386"/>
      <c r="X241" s="386"/>
      <c r="Y241" s="387"/>
      <c r="AG241" s="51"/>
      <c r="AN241" s="51"/>
      <c r="AO241" s="51"/>
      <c r="AP241" s="51"/>
      <c r="AQ241" s="51"/>
    </row>
    <row r="242" spans="1:43" s="53" customFormat="1" ht="12.75" customHeight="1" x14ac:dyDescent="0.3">
      <c r="A242" s="660"/>
      <c r="B242" s="661"/>
      <c r="C242" s="661"/>
      <c r="D242" s="662"/>
      <c r="E242" s="338">
        <f>SUM(E237:E241)</f>
        <v>0</v>
      </c>
      <c r="F242" s="338">
        <f>SUM(F237:F241)</f>
        <v>0</v>
      </c>
      <c r="G242" s="338">
        <f>SUM(G237:G241)</f>
        <v>0</v>
      </c>
      <c r="H242" s="338">
        <f>SUM(H237:H241)</f>
        <v>96</v>
      </c>
      <c r="I242" s="338">
        <f>SUM(I237:I241)</f>
        <v>158</v>
      </c>
      <c r="J242" s="655"/>
      <c r="K242" s="656"/>
      <c r="L242" s="656"/>
      <c r="M242" s="657"/>
      <c r="N242" s="196"/>
      <c r="O242" s="245"/>
      <c r="P242" s="245"/>
      <c r="Q242" s="245"/>
      <c r="R242" s="245"/>
      <c r="S242" s="245"/>
      <c r="T242" s="234"/>
      <c r="U242" s="234"/>
      <c r="V242" s="234"/>
      <c r="W242" s="206"/>
      <c r="X242" s="206"/>
      <c r="AM242" s="51"/>
      <c r="AN242" s="51"/>
      <c r="AO242" s="51"/>
      <c r="AP242" s="51"/>
      <c r="AQ242" s="51"/>
    </row>
    <row r="243" spans="1:43" s="41" customFormat="1" ht="15.75" customHeight="1" x14ac:dyDescent="0.3">
      <c r="A243" s="32" t="s">
        <v>114</v>
      </c>
      <c r="B243" s="5"/>
      <c r="C243" s="5"/>
      <c r="D243" s="5"/>
      <c r="E243" s="5"/>
      <c r="F243" s="5"/>
      <c r="G243" s="5"/>
      <c r="H243" s="5"/>
      <c r="I243" s="5"/>
      <c r="J243" s="5"/>
      <c r="K243" s="5"/>
      <c r="L243" s="5"/>
      <c r="M243" s="5"/>
      <c r="N243" s="196"/>
      <c r="O243" s="196"/>
      <c r="P243" s="196"/>
      <c r="Q243" s="196"/>
      <c r="R243" s="196"/>
      <c r="S243" s="196"/>
      <c r="T243" s="158"/>
      <c r="U243" s="158"/>
      <c r="V243" s="158"/>
      <c r="W243" s="158"/>
      <c r="X243" s="158"/>
    </row>
    <row r="244" spans="1:43" s="41" customFormat="1" ht="15.75" customHeight="1" x14ac:dyDescent="0.3">
      <c r="A244" s="32" t="s">
        <v>115</v>
      </c>
      <c r="B244" s="5"/>
      <c r="C244" s="5"/>
      <c r="D244" s="5"/>
      <c r="E244" s="5"/>
      <c r="F244" s="5"/>
      <c r="G244" s="5"/>
      <c r="H244" s="5"/>
      <c r="I244" s="5"/>
      <c r="J244" s="5"/>
      <c r="K244" s="5"/>
      <c r="L244" s="5"/>
      <c r="M244" s="5"/>
      <c r="N244" s="158"/>
      <c r="O244" s="196"/>
      <c r="P244" s="196"/>
      <c r="Q244" s="196"/>
      <c r="R244" s="196"/>
      <c r="S244" s="196"/>
      <c r="T244" s="158"/>
      <c r="U244" s="158"/>
      <c r="V244" s="158"/>
      <c r="W244" s="158"/>
      <c r="X244" s="158"/>
    </row>
    <row r="245" spans="1:43" ht="15.75" customHeight="1" x14ac:dyDescent="0.3">
      <c r="A245" s="32" t="s">
        <v>116</v>
      </c>
      <c r="N245" s="205"/>
    </row>
    <row r="246" spans="1:43" ht="15.75" customHeight="1" x14ac:dyDescent="0.3">
      <c r="A246" s="32" t="s">
        <v>117</v>
      </c>
      <c r="P246" s="232"/>
    </row>
    <row r="247" spans="1:43" ht="15.75" customHeight="1" x14ac:dyDescent="0.3">
      <c r="A247" s="32" t="s">
        <v>118</v>
      </c>
      <c r="P247" s="232"/>
    </row>
    <row r="248" spans="1:43" ht="15.75" customHeight="1" x14ac:dyDescent="0.3">
      <c r="A248" s="32" t="s">
        <v>119</v>
      </c>
      <c r="P248" s="232"/>
    </row>
    <row r="249" spans="1:43" ht="15.75" customHeight="1" x14ac:dyDescent="0.3">
      <c r="A249" s="61"/>
      <c r="B249" s="65"/>
      <c r="C249" s="66"/>
      <c r="D249" s="66"/>
      <c r="E249" s="67"/>
      <c r="F249" s="65"/>
      <c r="G249" s="65"/>
      <c r="H249" s="65"/>
      <c r="I249" s="65"/>
      <c r="J249" s="41"/>
      <c r="K249" s="41"/>
      <c r="L249" s="41"/>
      <c r="M249" s="41"/>
      <c r="P249" s="232"/>
    </row>
    <row r="250" spans="1:43" ht="21.75" customHeight="1" x14ac:dyDescent="0.3">
      <c r="A250" s="18" t="s">
        <v>120</v>
      </c>
      <c r="B250" s="41"/>
      <c r="C250" s="63"/>
      <c r="D250" s="63"/>
      <c r="E250" s="64"/>
      <c r="F250" s="41"/>
      <c r="G250" s="41"/>
      <c r="H250" s="41"/>
      <c r="I250" s="41"/>
      <c r="J250" s="41"/>
      <c r="K250" s="41"/>
      <c r="L250" s="41"/>
      <c r="M250" s="41"/>
      <c r="P250" s="232"/>
    </row>
    <row r="251" spans="1:43" s="53" customFormat="1" ht="24.75" customHeight="1" x14ac:dyDescent="0.25">
      <c r="A251" s="134" t="s">
        <v>89</v>
      </c>
      <c r="B251" s="789" t="s">
        <v>327</v>
      </c>
      <c r="C251" s="789"/>
      <c r="D251" s="789" t="s">
        <v>152</v>
      </c>
      <c r="E251" s="789"/>
      <c r="F251" s="789" t="s">
        <v>151</v>
      </c>
      <c r="G251" s="789"/>
      <c r="H251" s="789" t="s">
        <v>325</v>
      </c>
      <c r="I251" s="789"/>
      <c r="J251" s="789" t="s">
        <v>407</v>
      </c>
      <c r="K251" s="789"/>
      <c r="L251" s="789" t="s">
        <v>408</v>
      </c>
      <c r="M251" s="789"/>
      <c r="N251" s="235"/>
      <c r="O251" s="252" t="s">
        <v>450</v>
      </c>
      <c r="P251" s="252" t="s">
        <v>451</v>
      </c>
      <c r="Q251" s="158"/>
      <c r="R251" s="158"/>
      <c r="S251" s="158"/>
      <c r="T251" s="158"/>
      <c r="U251" s="158"/>
      <c r="V251" s="158"/>
      <c r="W251" s="172"/>
      <c r="X251" s="172"/>
      <c r="Y251" s="19"/>
      <c r="Z251" s="19"/>
      <c r="AA251" s="19"/>
      <c r="AB251" s="19"/>
      <c r="AC251" s="19"/>
      <c r="AD251" s="19"/>
      <c r="AE251" s="19"/>
      <c r="AF251" s="19"/>
      <c r="AG251" s="19"/>
      <c r="AH251" s="19"/>
      <c r="AI251" s="19"/>
      <c r="AJ251" s="19"/>
      <c r="AK251" s="19"/>
      <c r="AL251" s="19"/>
      <c r="AM251" s="19"/>
      <c r="AN251" s="19"/>
      <c r="AO251" s="19"/>
      <c r="AP251" s="19"/>
      <c r="AQ251" s="19"/>
    </row>
    <row r="252" spans="1:43" s="53" customFormat="1" ht="16.5" customHeight="1" x14ac:dyDescent="0.25">
      <c r="A252" s="175" t="str">
        <f>poste_order(A252)</f>
        <v>P1</v>
      </c>
      <c r="B252" s="888">
        <f>D252+H252</f>
        <v>11.316090528696847</v>
      </c>
      <c r="C252" s="888"/>
      <c r="D252" s="889">
        <v>10</v>
      </c>
      <c r="E252" s="889"/>
      <c r="F252" s="664">
        <f>D252+ABS(J252)+ABS(L252)</f>
        <v>11.316090528696849</v>
      </c>
      <c r="G252" s="664"/>
      <c r="H252" s="664">
        <f>SUMIF(J252:M252,"&gt;0")</f>
        <v>1.3160905286968481</v>
      </c>
      <c r="I252" s="664"/>
      <c r="J252" s="663">
        <f>MAX(O252:P252)</f>
        <v>0.88208867573501915</v>
      </c>
      <c r="K252" s="663"/>
      <c r="L252" s="663">
        <f>VLOOKUP(A252,$A$237:$M$242,12,0)</f>
        <v>0.43400185296182897</v>
      </c>
      <c r="M252" s="663"/>
      <c r="N252" s="196"/>
      <c r="O252" s="286">
        <f>INDEX($A$218:$M$226,(MATCH(A252,$A$218:$A$226,0)),10)</f>
        <v>0.88208867573501915</v>
      </c>
      <c r="P252" s="286">
        <f>IF(INDEX($A$218:$M$226,(MATCH(A252,$A$218:$A$226,0)+1),1)=0,INDEX($A$218:$M$226,(MATCH(A252,$A$218:$A$226,0)+1),10),"")</f>
        <v>0.84582039835136891</v>
      </c>
      <c r="Q252" s="158"/>
      <c r="S252" s="196"/>
      <c r="T252" s="158"/>
      <c r="U252" s="158"/>
      <c r="V252" s="158"/>
      <c r="W252" s="172"/>
      <c r="X252" s="172"/>
      <c r="Y252" s="19"/>
      <c r="Z252" s="19"/>
      <c r="AA252" s="19"/>
      <c r="AB252" s="19"/>
      <c r="AC252" s="19"/>
      <c r="AD252" s="19"/>
      <c r="AE252" s="19"/>
      <c r="AF252" s="19"/>
      <c r="AG252" s="19"/>
      <c r="AH252" s="19"/>
      <c r="AI252" s="19"/>
      <c r="AJ252" s="19"/>
      <c r="AK252" s="19"/>
      <c r="AL252" s="19"/>
      <c r="AM252" s="19"/>
      <c r="AN252" s="19"/>
      <c r="AO252" s="19"/>
      <c r="AP252" s="19"/>
      <c r="AQ252" s="19"/>
    </row>
    <row r="253" spans="1:43" s="53" customFormat="1" ht="16.5" customHeight="1" x14ac:dyDescent="0.25">
      <c r="A253" s="175" t="str">
        <f t="shared" ref="A253:A255" si="76">poste_order(A253)</f>
        <v>P2</v>
      </c>
      <c r="B253" s="888">
        <f t="shared" ref="B253:B254" si="77">D253+H253</f>
        <v>11.873487462116774</v>
      </c>
      <c r="C253" s="888"/>
      <c r="D253" s="889">
        <f t="shared" ref="D253:D255" si="78">$D$252</f>
        <v>10</v>
      </c>
      <c r="E253" s="889"/>
      <c r="F253" s="664">
        <f t="shared" ref="F253:F254" si="79">D253+ABS(J253)+ABS(L253)</f>
        <v>11.873487462116772</v>
      </c>
      <c r="G253" s="664"/>
      <c r="H253" s="664">
        <f t="shared" ref="H253:H254" si="80">SUMIF(J253:M253,"&gt;0")</f>
        <v>1.8734874621167734</v>
      </c>
      <c r="I253" s="664"/>
      <c r="J253" s="663">
        <f t="shared" ref="J253:J254" si="81">MAX(O253:P253)</f>
        <v>1.107732853927996</v>
      </c>
      <c r="K253" s="663"/>
      <c r="L253" s="663">
        <f>VLOOKUP(A253,$A$237:$M$242,12,0)</f>
        <v>0.76575460818877739</v>
      </c>
      <c r="M253" s="663"/>
      <c r="N253" s="196"/>
      <c r="O253" s="286">
        <f>INDEX($A$218:$M$226,(MATCH(A253,$A$218:$A$226,0)),10)</f>
        <v>1.107732853927996</v>
      </c>
      <c r="P253" s="286">
        <f>IF(INDEX($A$218:$M$226,(MATCH(A253,$A$218:$A$226,0)+1),1)=0,INDEX($A$218:$M$226,(MATCH(A253,$A$218:$A$226,0)+1),10),"")</f>
        <v>1.107732853927996</v>
      </c>
      <c r="Q253" s="158"/>
      <c r="R253" s="158"/>
      <c r="S253" s="158"/>
      <c r="T253" s="158"/>
      <c r="U253" s="158"/>
      <c r="V253" s="158"/>
      <c r="W253" s="172"/>
      <c r="X253" s="172"/>
      <c r="Y253" s="19"/>
      <c r="Z253" s="19"/>
      <c r="AA253" s="19"/>
      <c r="AB253" s="19"/>
      <c r="AC253" s="19"/>
      <c r="AD253" s="19"/>
      <c r="AE253" s="19"/>
      <c r="AF253" s="19"/>
      <c r="AG253" s="19"/>
      <c r="AH253" s="19"/>
      <c r="AI253" s="19"/>
      <c r="AJ253" s="19"/>
      <c r="AK253" s="19"/>
      <c r="AL253" s="19"/>
      <c r="AM253" s="19"/>
      <c r="AN253" s="19"/>
      <c r="AO253" s="19"/>
      <c r="AP253" s="19"/>
      <c r="AQ253" s="19"/>
    </row>
    <row r="254" spans="1:43" s="53" customFormat="1" ht="16.5" customHeight="1" x14ac:dyDescent="0.25">
      <c r="A254" s="175" t="str">
        <f t="shared" si="76"/>
        <v>P3</v>
      </c>
      <c r="B254" s="888">
        <f t="shared" si="77"/>
        <v>11.62667814553779</v>
      </c>
      <c r="C254" s="888"/>
      <c r="D254" s="889">
        <f t="shared" si="78"/>
        <v>10</v>
      </c>
      <c r="E254" s="889"/>
      <c r="F254" s="664">
        <f t="shared" si="79"/>
        <v>11.62667814553779</v>
      </c>
      <c r="G254" s="664"/>
      <c r="H254" s="664">
        <f t="shared" si="80"/>
        <v>1.6266781455377897</v>
      </c>
      <c r="I254" s="664"/>
      <c r="J254" s="663">
        <f t="shared" si="81"/>
        <v>1.1205488367296772</v>
      </c>
      <c r="K254" s="663"/>
      <c r="L254" s="663">
        <f>VLOOKUP(A254,$A$237:$M$242,12,0)</f>
        <v>0.50612930880811247</v>
      </c>
      <c r="M254" s="663"/>
      <c r="N254" s="196"/>
      <c r="O254" s="286">
        <f>INDEX($A$218:$M$226,(MATCH(A254,$A$218:$A$226,0)),10)</f>
        <v>0.71026999772879973</v>
      </c>
      <c r="P254" s="286">
        <f>IF(INDEX($A$218:$M$226,(MATCH(A254,$A$218:$A$226,0)+1),1)=0,INDEX($A$218:$M$226,(MATCH(A254,$A$218:$A$226,0)+1),10),"")</f>
        <v>1.1205488367296772</v>
      </c>
      <c r="Q254" s="158"/>
      <c r="R254" s="196"/>
      <c r="S254" s="196"/>
      <c r="T254" s="158"/>
      <c r="U254" s="158"/>
      <c r="V254" s="158"/>
      <c r="W254" s="172"/>
      <c r="X254" s="172"/>
      <c r="Y254" s="19"/>
      <c r="Z254" s="19"/>
      <c r="AA254" s="19"/>
      <c r="AB254" s="19"/>
      <c r="AC254" s="19"/>
      <c r="AD254" s="19"/>
      <c r="AE254" s="19"/>
      <c r="AF254" s="19"/>
      <c r="AG254" s="19"/>
      <c r="AH254" s="19"/>
      <c r="AI254" s="19"/>
      <c r="AJ254" s="19"/>
      <c r="AK254" s="19"/>
      <c r="AL254" s="19"/>
      <c r="AM254" s="19"/>
      <c r="AN254" s="19"/>
      <c r="AO254" s="19"/>
      <c r="AP254" s="19"/>
      <c r="AQ254" s="19"/>
    </row>
    <row r="255" spans="1:43" s="53" customFormat="1" ht="16.5" customHeight="1" x14ac:dyDescent="0.25">
      <c r="A255" s="175" t="str">
        <f t="shared" si="76"/>
        <v>P4</v>
      </c>
      <c r="B255" s="888">
        <f t="shared" ref="B255" si="82">D255+H255</f>
        <v>11.822703216986095</v>
      </c>
      <c r="C255" s="888"/>
      <c r="D255" s="889">
        <f t="shared" si="78"/>
        <v>10</v>
      </c>
      <c r="E255" s="889"/>
      <c r="F255" s="664">
        <f t="shared" ref="F255" si="83">D255+ABS(J255)+ABS(L255)</f>
        <v>11.822703216986095</v>
      </c>
      <c r="G255" s="664"/>
      <c r="H255" s="664">
        <f t="shared" ref="H255" si="84">SUMIF(J255:M255,"&gt;0")</f>
        <v>1.8227032169860955</v>
      </c>
      <c r="I255" s="664"/>
      <c r="J255" s="663">
        <f t="shared" ref="J255" si="85">MAX(O255:P255)</f>
        <v>0.93020860359613622</v>
      </c>
      <c r="K255" s="663"/>
      <c r="L255" s="663">
        <f>VLOOKUP(A255,$A$237:$M$242,12,0)</f>
        <v>0.89249461338995939</v>
      </c>
      <c r="M255" s="663"/>
      <c r="N255" s="196"/>
      <c r="O255" s="286">
        <f>INDEX($A$218:$M$226,(MATCH(A255,$A$218:$A$226,0)),10)</f>
        <v>0.93020860359613622</v>
      </c>
      <c r="P255" s="286">
        <f>IF(INDEX($A$218:$M$226,(MATCH(A255,$A$218:$A$226,0)+1),1)=0,INDEX($A$218:$M$226,(MATCH(A255,$A$218:$A$226,0)+1),10),"")</f>
        <v>0.93020860359613622</v>
      </c>
      <c r="Q255" s="158"/>
      <c r="R255" s="196"/>
      <c r="S255" s="196"/>
      <c r="T255" s="158"/>
      <c r="U255" s="158"/>
      <c r="V255" s="158"/>
      <c r="W255" s="172"/>
      <c r="X255" s="172"/>
      <c r="Y255" s="19"/>
      <c r="Z255" s="19"/>
      <c r="AA255" s="19"/>
      <c r="AB255" s="19"/>
      <c r="AC255" s="19"/>
      <c r="AD255" s="19"/>
      <c r="AE255" s="19"/>
      <c r="AF255" s="19"/>
      <c r="AG255" s="19"/>
      <c r="AH255" s="19"/>
      <c r="AI255" s="19"/>
      <c r="AJ255" s="19"/>
      <c r="AK255" s="19"/>
      <c r="AL255" s="19"/>
      <c r="AM255" s="19"/>
      <c r="AN255" s="19"/>
      <c r="AO255" s="19"/>
      <c r="AP255" s="19"/>
      <c r="AQ255" s="19"/>
    </row>
    <row r="256" spans="1:43" ht="16.5" customHeight="1" x14ac:dyDescent="0.3">
      <c r="A256" s="32" t="s">
        <v>121</v>
      </c>
      <c r="N256" s="158"/>
      <c r="O256" s="158"/>
      <c r="P256" s="232"/>
    </row>
    <row r="257" spans="1:24" ht="16.5" customHeight="1" x14ac:dyDescent="0.3">
      <c r="A257" s="32" t="s">
        <v>122</v>
      </c>
      <c r="N257" s="158"/>
      <c r="O257" s="158"/>
      <c r="P257" s="232"/>
    </row>
    <row r="258" spans="1:24" ht="15" customHeight="1" x14ac:dyDescent="0.3">
      <c r="A258" s="32" t="s">
        <v>123</v>
      </c>
      <c r="N258" s="158"/>
      <c r="R258" s="207"/>
      <c r="S258" s="233"/>
      <c r="T258" s="233"/>
      <c r="U258" s="233"/>
      <c r="V258" s="233"/>
    </row>
    <row r="259" spans="1:24" ht="17.25" customHeight="1" x14ac:dyDescent="0.3">
      <c r="A259" s="37"/>
      <c r="B259" s="68"/>
      <c r="C259" s="69"/>
      <c r="D259" s="69"/>
      <c r="E259" s="70"/>
      <c r="F259" s="68"/>
      <c r="G259" s="68"/>
      <c r="H259" s="68"/>
      <c r="I259" s="68"/>
      <c r="J259" s="68"/>
      <c r="K259" s="68"/>
      <c r="L259" s="68"/>
      <c r="M259" s="68"/>
      <c r="N259" s="158"/>
    </row>
    <row r="260" spans="1:24" ht="17.25" customHeight="1" x14ac:dyDescent="0.3">
      <c r="A260" s="18" t="s">
        <v>448</v>
      </c>
      <c r="B260" s="41"/>
      <c r="C260" s="63"/>
      <c r="D260" s="63"/>
      <c r="E260" s="64"/>
      <c r="F260" s="41"/>
      <c r="G260" s="41"/>
      <c r="H260" s="41"/>
      <c r="I260" s="41"/>
      <c r="J260" s="41"/>
      <c r="K260" s="41"/>
      <c r="L260" s="41"/>
      <c r="M260" s="41"/>
    </row>
    <row r="261" spans="1:24" s="37" customFormat="1" ht="17.25" customHeight="1" x14ac:dyDescent="0.3">
      <c r="A261" s="789" t="s">
        <v>89</v>
      </c>
      <c r="B261" s="789"/>
      <c r="C261" s="789" t="s">
        <v>124</v>
      </c>
      <c r="D261" s="789"/>
      <c r="E261" s="789" t="s">
        <v>125</v>
      </c>
      <c r="F261" s="789"/>
      <c r="G261" s="789"/>
      <c r="H261" s="789"/>
      <c r="I261" s="789"/>
      <c r="J261" s="789"/>
      <c r="K261" s="789" t="s">
        <v>126</v>
      </c>
      <c r="L261" s="789"/>
      <c r="M261" s="789"/>
      <c r="N261" s="207"/>
      <c r="U261" s="196"/>
      <c r="W261" s="203"/>
      <c r="X261" s="203"/>
    </row>
    <row r="262" spans="1:24" ht="17.25" customHeight="1" x14ac:dyDescent="0.3">
      <c r="A262" s="789"/>
      <c r="B262" s="789"/>
      <c r="C262" s="789"/>
      <c r="D262" s="789"/>
      <c r="E262" s="789" t="s">
        <v>127</v>
      </c>
      <c r="F262" s="789"/>
      <c r="G262" s="789"/>
      <c r="H262" s="789" t="s">
        <v>50</v>
      </c>
      <c r="I262" s="789"/>
      <c r="J262" s="789"/>
      <c r="K262" s="789"/>
      <c r="L262" s="789"/>
      <c r="M262" s="789"/>
      <c r="N262" s="205"/>
    </row>
    <row r="263" spans="1:24" ht="17.25" customHeight="1" x14ac:dyDescent="0.3">
      <c r="A263" s="654" t="str">
        <f>poste_order(A263)</f>
        <v>P1</v>
      </c>
      <c r="B263" s="654"/>
      <c r="C263" s="887">
        <f>VLOOKUP(A263,$A$237:$D$242,3,0)</f>
        <v>9.3244897959183657</v>
      </c>
      <c r="D263" s="887"/>
      <c r="E263" s="647" t="str">
        <f>IF(E237&gt;0,"110 mm",IF(F237&gt;0,"90 mm",IF(G237&gt;0,"75 mm",IF(H237&gt;0,"63 mm","50 mm"))))</f>
        <v>63 mm</v>
      </c>
      <c r="F263" s="647" t="s">
        <v>405</v>
      </c>
      <c r="G263" s="647" t="s">
        <v>405</v>
      </c>
      <c r="H263" s="649" t="s">
        <v>402</v>
      </c>
      <c r="I263" s="649"/>
      <c r="J263" s="649"/>
      <c r="K263" s="649">
        <v>1</v>
      </c>
      <c r="L263" s="649"/>
      <c r="M263" s="649"/>
      <c r="N263" s="205"/>
    </row>
    <row r="264" spans="1:24" ht="17.25" customHeight="1" x14ac:dyDescent="0.3">
      <c r="A264" s="654" t="str">
        <f t="shared" ref="A264:A266" si="86">poste_order(A264)</f>
        <v>P2</v>
      </c>
      <c r="B264" s="654"/>
      <c r="C264" s="887">
        <f>VLOOKUP(A264,$A$237:$D$242,3,0)</f>
        <v>11.845555555555556</v>
      </c>
      <c r="D264" s="887"/>
      <c r="E264" s="647" t="str">
        <f>IF(E238&gt;0,"110 mm",IF(F238&gt;0,"90 mm",IF(G238&gt;0,"75 mm",IF(H238&gt;0,"63 mm","50 mm"))))</f>
        <v>63 mm</v>
      </c>
      <c r="F264" s="647" t="s">
        <v>405</v>
      </c>
      <c r="G264" s="647" t="s">
        <v>405</v>
      </c>
      <c r="H264" s="649" t="s">
        <v>402</v>
      </c>
      <c r="I264" s="649"/>
      <c r="J264" s="649"/>
      <c r="K264" s="649">
        <v>1</v>
      </c>
      <c r="L264" s="649"/>
      <c r="M264" s="649"/>
    </row>
    <row r="265" spans="1:24" ht="17.25" customHeight="1" x14ac:dyDescent="0.3">
      <c r="A265" s="654" t="str">
        <f t="shared" si="86"/>
        <v>P3</v>
      </c>
      <c r="B265" s="654"/>
      <c r="C265" s="887">
        <f>VLOOKUP(A265,$A$237:$D$242,3,0)</f>
        <v>9.2001632653061236</v>
      </c>
      <c r="D265" s="887"/>
      <c r="E265" s="647" t="str">
        <f>IF(E239&gt;0,"110 mm",IF(F239&gt;0,"90 mm",IF(G239&gt;0,"75 mm",IF(H239&gt;0,"63 mm","50 mm"))))</f>
        <v>63 mm</v>
      </c>
      <c r="F265" s="647" t="s">
        <v>405</v>
      </c>
      <c r="G265" s="647" t="s">
        <v>405</v>
      </c>
      <c r="H265" s="649" t="s">
        <v>402</v>
      </c>
      <c r="I265" s="649"/>
      <c r="J265" s="649"/>
      <c r="K265" s="649">
        <v>1</v>
      </c>
      <c r="L265" s="649"/>
      <c r="M265" s="649"/>
    </row>
    <row r="266" spans="1:24" ht="17.25" customHeight="1" x14ac:dyDescent="0.3">
      <c r="A266" s="654" t="str">
        <f t="shared" si="86"/>
        <v>P4</v>
      </c>
      <c r="B266" s="654"/>
      <c r="C266" s="887">
        <f>VLOOKUP(A266,$A$237:$D$242,3,0)</f>
        <v>12.522444444444444</v>
      </c>
      <c r="D266" s="887"/>
      <c r="E266" s="647" t="str">
        <f>IF(E240&gt;0,"110 mm",IF(F240&gt;0,"90 mm",IF(G240&gt;0,"75 mm",IF(H240&gt;0,"63 mm","50 mm"))))</f>
        <v>63 mm</v>
      </c>
      <c r="F266" s="647" t="s">
        <v>405</v>
      </c>
      <c r="G266" s="647" t="s">
        <v>405</v>
      </c>
      <c r="H266" s="649" t="s">
        <v>402</v>
      </c>
      <c r="I266" s="649"/>
      <c r="J266" s="649"/>
      <c r="K266" s="649">
        <v>1</v>
      </c>
      <c r="L266" s="649"/>
      <c r="M266" s="649"/>
    </row>
    <row r="267" spans="1:24" ht="14.25" customHeight="1" x14ac:dyDescent="0.3">
      <c r="A267" s="71"/>
      <c r="B267" s="71"/>
      <c r="C267" s="72"/>
      <c r="D267" s="72"/>
      <c r="E267" s="73"/>
      <c r="F267" s="73"/>
      <c r="G267" s="73"/>
      <c r="H267" s="74"/>
      <c r="I267" s="74"/>
      <c r="J267" s="74"/>
      <c r="K267" s="74"/>
      <c r="L267" s="74"/>
      <c r="M267" s="74"/>
      <c r="N267" s="232"/>
    </row>
    <row r="268" spans="1:24" ht="15" customHeight="1" thickBot="1" x14ac:dyDescent="0.35">
      <c r="A268" s="18" t="s">
        <v>129</v>
      </c>
      <c r="B268" s="34"/>
      <c r="C268" s="75"/>
      <c r="D268" s="75"/>
      <c r="E268" s="76"/>
      <c r="F268" s="76"/>
      <c r="G268" s="76"/>
      <c r="H268" s="76"/>
      <c r="I268" s="76"/>
      <c r="J268" s="76"/>
      <c r="K268" s="76"/>
      <c r="L268" s="76"/>
      <c r="M268" s="76"/>
      <c r="N268" s="232"/>
    </row>
    <row r="269" spans="1:24" ht="33" customHeight="1" thickTop="1" thickBot="1" x14ac:dyDescent="0.35">
      <c r="B269" s="636" t="s">
        <v>130</v>
      </c>
      <c r="C269" s="636"/>
      <c r="D269" s="636" t="s">
        <v>131</v>
      </c>
      <c r="E269" s="636"/>
      <c r="F269" s="636" t="s">
        <v>132</v>
      </c>
      <c r="G269" s="636"/>
      <c r="H269" s="636" t="s">
        <v>133</v>
      </c>
      <c r="I269" s="636"/>
      <c r="J269" s="636" t="s">
        <v>134</v>
      </c>
      <c r="K269" s="636"/>
      <c r="L269" s="77"/>
      <c r="M269" s="77"/>
      <c r="N269" s="222" t="s">
        <v>330</v>
      </c>
      <c r="O269" s="222" t="s">
        <v>304</v>
      </c>
      <c r="Q269" s="5"/>
    </row>
    <row r="270" spans="1:24" s="2" customFormat="1" ht="23.25" customHeight="1" thickTop="1" thickBot="1" x14ac:dyDescent="0.35">
      <c r="A270" s="89"/>
      <c r="B270" s="653" t="s">
        <v>559</v>
      </c>
      <c r="C270" s="653"/>
      <c r="D270" s="650">
        <f t="shared" ref="D270:D272" si="87">+$O$169</f>
        <v>21.722607709750569</v>
      </c>
      <c r="E270" s="650"/>
      <c r="F270" s="886">
        <v>90</v>
      </c>
      <c r="G270" s="886"/>
      <c r="H270" s="637">
        <f>+VLOOKUP(F270,'Diamétre Interieur'!$A$3:$C$17,3,0)</f>
        <v>84.47</v>
      </c>
      <c r="I270" s="637"/>
      <c r="J270" s="650">
        <f t="shared" ref="J270:J272" si="88">((D270*4*1000000)/(3600*3.14))*1/H270^2</f>
        <v>1.0772954198511684</v>
      </c>
      <c r="K270" s="650"/>
      <c r="L270" s="75"/>
      <c r="M270" s="75"/>
      <c r="N270" s="237">
        <v>28</v>
      </c>
      <c r="O270" s="237">
        <v>0</v>
      </c>
      <c r="P270" s="393" t="str">
        <f t="shared" ref="P270:P272" si="89">B270</f>
        <v>ST - TE</v>
      </c>
      <c r="Q270" s="196"/>
      <c r="R270" s="196"/>
      <c r="S270" s="196"/>
      <c r="T270" s="196"/>
      <c r="U270" s="196"/>
      <c r="V270" s="196"/>
      <c r="W270" s="196"/>
      <c r="X270" s="196"/>
    </row>
    <row r="271" spans="1:24" s="2" customFormat="1" ht="23.25" customHeight="1" thickTop="1" thickBot="1" x14ac:dyDescent="0.35">
      <c r="A271" s="89"/>
      <c r="B271" s="653" t="s">
        <v>558</v>
      </c>
      <c r="C271" s="653"/>
      <c r="D271" s="650">
        <f t="shared" si="87"/>
        <v>21.722607709750569</v>
      </c>
      <c r="E271" s="650"/>
      <c r="F271" s="886">
        <v>90</v>
      </c>
      <c r="G271" s="886"/>
      <c r="H271" s="637">
        <f>+VLOOKUP(F271,'Diamétre Interieur'!$A$3:$C$17,3,0)</f>
        <v>84.47</v>
      </c>
      <c r="I271" s="637"/>
      <c r="J271" s="650">
        <f t="shared" ref="J271" si="90">((D271*4*1000000)/(3600*3.14))*1/H271^2</f>
        <v>1.0772954198511684</v>
      </c>
      <c r="K271" s="650"/>
      <c r="L271" s="75"/>
      <c r="M271" s="75"/>
      <c r="N271" s="237">
        <v>65</v>
      </c>
      <c r="O271" s="237">
        <v>0</v>
      </c>
      <c r="P271" s="393" t="str">
        <f t="shared" ref="P271" si="91">B271</f>
        <v>TE - V1.V2</v>
      </c>
      <c r="Q271" s="196"/>
      <c r="R271" s="196"/>
      <c r="S271" s="196"/>
      <c r="T271" s="196"/>
      <c r="U271" s="196"/>
      <c r="V271" s="196"/>
      <c r="W271" s="196"/>
      <c r="X271" s="196"/>
    </row>
    <row r="272" spans="1:24" s="2" customFormat="1" ht="23.25" customHeight="1" thickTop="1" thickBot="1" x14ac:dyDescent="0.35">
      <c r="A272" s="89"/>
      <c r="B272" s="653" t="s">
        <v>560</v>
      </c>
      <c r="C272" s="653"/>
      <c r="D272" s="650">
        <f t="shared" si="87"/>
        <v>21.722607709750569</v>
      </c>
      <c r="E272" s="650"/>
      <c r="F272" s="886">
        <v>90</v>
      </c>
      <c r="G272" s="886"/>
      <c r="H272" s="637">
        <f>+VLOOKUP(F272,'Diamétre Interieur'!$A$3:$C$17,3,0)</f>
        <v>84.47</v>
      </c>
      <c r="I272" s="637"/>
      <c r="J272" s="650">
        <f t="shared" si="88"/>
        <v>1.0772954198511684</v>
      </c>
      <c r="K272" s="650"/>
      <c r="L272" s="75"/>
      <c r="M272" s="75"/>
      <c r="N272" s="237">
        <v>62</v>
      </c>
      <c r="O272" s="237">
        <v>0</v>
      </c>
      <c r="P272" s="393" t="str">
        <f t="shared" si="89"/>
        <v>TE - V3.V4</v>
      </c>
      <c r="Q272" s="196"/>
      <c r="R272" s="196"/>
      <c r="S272" s="196"/>
      <c r="T272" s="196"/>
      <c r="U272" s="196"/>
      <c r="V272" s="196"/>
      <c r="W272" s="196"/>
      <c r="X272" s="196"/>
    </row>
    <row r="273" spans="1:17" ht="23.25" customHeight="1" thickTop="1" x14ac:dyDescent="0.3">
      <c r="A273" s="34"/>
      <c r="B273" s="34"/>
      <c r="C273" s="75"/>
      <c r="D273" s="75"/>
      <c r="E273" s="76"/>
      <c r="F273" s="76"/>
      <c r="G273" s="76"/>
      <c r="H273" s="76"/>
      <c r="I273" s="76"/>
      <c r="J273" s="76"/>
      <c r="K273" s="76"/>
      <c r="L273" s="76"/>
      <c r="M273" s="76"/>
      <c r="Q273" s="5"/>
    </row>
    <row r="274" spans="1:17" ht="23.25" customHeight="1" thickBot="1" x14ac:dyDescent="0.35">
      <c r="A274" s="18" t="s">
        <v>135</v>
      </c>
      <c r="B274" s="34"/>
      <c r="C274" s="75"/>
      <c r="D274" s="75"/>
      <c r="E274" s="76"/>
      <c r="F274" s="76"/>
      <c r="G274" s="76"/>
      <c r="H274" s="76"/>
      <c r="I274" s="76"/>
      <c r="J274" s="76"/>
      <c r="K274" s="76"/>
      <c r="L274" s="76"/>
      <c r="M274" s="76"/>
    </row>
    <row r="275" spans="1:17" ht="44.25" customHeight="1" thickTop="1" thickBot="1" x14ac:dyDescent="0.35">
      <c r="A275" s="247" t="s">
        <v>57</v>
      </c>
      <c r="B275" s="648" t="s">
        <v>136</v>
      </c>
      <c r="C275" s="648"/>
      <c r="D275" s="176" t="s">
        <v>137</v>
      </c>
      <c r="E275" s="177" t="s">
        <v>138</v>
      </c>
      <c r="F275" s="651" t="s">
        <v>331</v>
      </c>
      <c r="G275" s="652"/>
      <c r="H275" s="289" t="s">
        <v>140</v>
      </c>
      <c r="I275" s="176" t="s">
        <v>139</v>
      </c>
      <c r="J275" s="646" t="s">
        <v>401</v>
      </c>
      <c r="K275" s="646"/>
      <c r="L275" s="646" t="s">
        <v>400</v>
      </c>
      <c r="M275" s="646"/>
      <c r="N275" s="248"/>
    </row>
    <row r="276" spans="1:17" ht="24" customHeight="1" thickTop="1" thickBot="1" x14ac:dyDescent="0.35">
      <c r="A276" s="555" t="str">
        <f>poste_order(A276)</f>
        <v>P1</v>
      </c>
      <c r="B276" s="557" t="str">
        <f>+B270</f>
        <v>ST - TE</v>
      </c>
      <c r="C276" s="558"/>
      <c r="D276" s="78">
        <f t="shared" ref="D276:D277" si="92">VLOOKUP(B276,$B$270:$O$273,13,0)</f>
        <v>28</v>
      </c>
      <c r="E276" s="513">
        <f t="shared" ref="E276:E277" si="93">VLOOKUP(B276,$B$270:$O$273,3,0)</f>
        <v>21.722607709750569</v>
      </c>
      <c r="F276" s="173">
        <f t="shared" ref="F276:F277" si="94">VLOOKUP(B276,$B$270:$O$273,5,0)</f>
        <v>90</v>
      </c>
      <c r="G276" s="469">
        <f t="shared" ref="G276:G277" si="95">VLOOKUP(B276,$B$270:$O$273,7,0)</f>
        <v>84.47</v>
      </c>
      <c r="H276" s="512">
        <f t="shared" ref="H276:H277" si="96">(0.478*G276^-4.75*(E276*1000)^1.75*D276)*1.1</f>
        <v>0.40340167257594978</v>
      </c>
      <c r="I276" s="513">
        <f t="shared" ref="I276:I277" si="97">VLOOKUP(B276,$B$270:$O$273,14,0)</f>
        <v>0</v>
      </c>
      <c r="J276" s="559">
        <f>+L276+I276+H276</f>
        <v>13.714719036845304</v>
      </c>
      <c r="K276" s="560"/>
      <c r="L276" s="561">
        <f>next_cell(J276)</f>
        <v>13.311317364269355</v>
      </c>
      <c r="M276" s="562"/>
      <c r="N276" s="5"/>
    </row>
    <row r="277" spans="1:17" ht="24" customHeight="1" thickTop="1" thickBot="1" x14ac:dyDescent="0.35">
      <c r="A277" s="556"/>
      <c r="B277" s="557" t="str">
        <f>+B271</f>
        <v>TE - V1.V2</v>
      </c>
      <c r="C277" s="558"/>
      <c r="D277" s="78">
        <f t="shared" si="92"/>
        <v>65</v>
      </c>
      <c r="E277" s="513">
        <f t="shared" si="93"/>
        <v>21.722607709750569</v>
      </c>
      <c r="F277" s="173">
        <f t="shared" si="94"/>
        <v>90</v>
      </c>
      <c r="G277" s="469">
        <f t="shared" si="95"/>
        <v>84.47</v>
      </c>
      <c r="H277" s="512">
        <f t="shared" si="96"/>
        <v>0.93646816847988323</v>
      </c>
      <c r="I277" s="513">
        <f t="shared" si="97"/>
        <v>0</v>
      </c>
      <c r="J277" s="561">
        <f t="shared" ref="J277" si="98">+L277+I277+H277</f>
        <v>13.252558697176731</v>
      </c>
      <c r="K277" s="562"/>
      <c r="L277" s="553">
        <f>VLOOKUP(mcv(A277),$A$252:$M$258,2,0)+1</f>
        <v>12.316090528696847</v>
      </c>
      <c r="M277" s="554"/>
      <c r="N277" s="5"/>
    </row>
    <row r="278" spans="1:17" ht="24" customHeight="1" thickTop="1" thickBot="1" x14ac:dyDescent="0.35">
      <c r="A278" s="555" t="str">
        <f>poste_order(A278)</f>
        <v>P2</v>
      </c>
      <c r="B278" s="557" t="str">
        <f>B270</f>
        <v>ST - TE</v>
      </c>
      <c r="C278" s="558"/>
      <c r="D278" s="78">
        <f t="shared" ref="D278:D281" si="99">VLOOKUP(B278,$B$270:$O$273,13,0)</f>
        <v>28</v>
      </c>
      <c r="E278" s="498">
        <f t="shared" ref="E278:E281" si="100">VLOOKUP(B278,$B$270:$O$273,3,0)</f>
        <v>21.722607709750569</v>
      </c>
      <c r="F278" s="173">
        <f t="shared" ref="F278:F281" si="101">VLOOKUP(B278,$B$270:$O$273,5,0)</f>
        <v>90</v>
      </c>
      <c r="G278" s="469">
        <f t="shared" ref="G278:G281" si="102">VLOOKUP(B278,$B$270:$O$273,7,0)</f>
        <v>84.47</v>
      </c>
      <c r="H278" s="497">
        <f t="shared" ref="H278:H281" si="103">(0.478*G278^-4.75*(E278*1000)^1.75*D278)*1.1</f>
        <v>0.40340167257594978</v>
      </c>
      <c r="I278" s="498">
        <f t="shared" ref="I278:I281" si="104">VLOOKUP(B278,$B$270:$O$273,14,0)</f>
        <v>0</v>
      </c>
      <c r="J278" s="559">
        <f>+L278+I278+H278</f>
        <v>14.287146829987787</v>
      </c>
      <c r="K278" s="560"/>
      <c r="L278" s="561">
        <f>next_cell(J278)</f>
        <v>13.883745157411838</v>
      </c>
      <c r="M278" s="562"/>
      <c r="N278" s="5"/>
    </row>
    <row r="279" spans="1:17" ht="24" customHeight="1" thickTop="1" thickBot="1" x14ac:dyDescent="0.35">
      <c r="A279" s="556"/>
      <c r="B279" s="557" t="str">
        <f>+B271</f>
        <v>TE - V1.V2</v>
      </c>
      <c r="C279" s="558"/>
      <c r="D279" s="78">
        <f t="shared" si="99"/>
        <v>65</v>
      </c>
      <c r="E279" s="498">
        <f t="shared" si="100"/>
        <v>21.722607709750569</v>
      </c>
      <c r="F279" s="173">
        <f t="shared" si="101"/>
        <v>90</v>
      </c>
      <c r="G279" s="469">
        <f t="shared" si="102"/>
        <v>84.47</v>
      </c>
      <c r="H279" s="497">
        <f t="shared" si="103"/>
        <v>0.93646816847988323</v>
      </c>
      <c r="I279" s="498">
        <f t="shared" si="104"/>
        <v>0</v>
      </c>
      <c r="J279" s="561">
        <f t="shared" ref="J279" si="105">+L279+I279+H279</f>
        <v>13.809955630596658</v>
      </c>
      <c r="K279" s="562"/>
      <c r="L279" s="553">
        <f>VLOOKUP(mcv(A279),$A$252:$M$258,2,0)+1</f>
        <v>12.873487462116774</v>
      </c>
      <c r="M279" s="554"/>
      <c r="N279" s="5"/>
    </row>
    <row r="280" spans="1:17" ht="24" customHeight="1" thickTop="1" thickBot="1" x14ac:dyDescent="0.35">
      <c r="A280" s="555" t="str">
        <f>poste_order(A280)</f>
        <v>P3</v>
      </c>
      <c r="B280" s="557" t="str">
        <f>+B270</f>
        <v>ST - TE</v>
      </c>
      <c r="C280" s="558"/>
      <c r="D280" s="78">
        <f t="shared" si="99"/>
        <v>28</v>
      </c>
      <c r="E280" s="513">
        <f t="shared" si="100"/>
        <v>21.722607709750569</v>
      </c>
      <c r="F280" s="173">
        <f t="shared" si="101"/>
        <v>90</v>
      </c>
      <c r="G280" s="469">
        <f t="shared" si="102"/>
        <v>84.47</v>
      </c>
      <c r="H280" s="512">
        <f t="shared" si="103"/>
        <v>0.40340167257594978</v>
      </c>
      <c r="I280" s="513">
        <f t="shared" si="104"/>
        <v>0</v>
      </c>
      <c r="J280" s="559">
        <f>+L280+I280+H280</f>
        <v>13.997969618062889</v>
      </c>
      <c r="K280" s="560"/>
      <c r="L280" s="561">
        <f>next_cell(J280)</f>
        <v>13.59456794548694</v>
      </c>
      <c r="M280" s="562"/>
      <c r="N280" s="5"/>
    </row>
    <row r="281" spans="1:17" ht="24" customHeight="1" thickTop="1" thickBot="1" x14ac:dyDescent="0.35">
      <c r="A281" s="556"/>
      <c r="B281" s="557" t="str">
        <f>+B272</f>
        <v>TE - V3.V4</v>
      </c>
      <c r="C281" s="558"/>
      <c r="D281" s="78">
        <f t="shared" si="99"/>
        <v>62</v>
      </c>
      <c r="E281" s="513">
        <f t="shared" si="100"/>
        <v>21.722607709750569</v>
      </c>
      <c r="F281" s="173">
        <f t="shared" si="101"/>
        <v>90</v>
      </c>
      <c r="G281" s="469">
        <f t="shared" si="102"/>
        <v>84.47</v>
      </c>
      <c r="H281" s="512">
        <f t="shared" si="103"/>
        <v>0.89324656070388864</v>
      </c>
      <c r="I281" s="513">
        <f t="shared" si="104"/>
        <v>0</v>
      </c>
      <c r="J281" s="561">
        <f t="shared" ref="J281" si="106">+L281+I281+H281</f>
        <v>13.519924706241678</v>
      </c>
      <c r="K281" s="562"/>
      <c r="L281" s="553">
        <f>VLOOKUP(mcv(A281),$A$252:$M$258,2,0)+1</f>
        <v>12.62667814553779</v>
      </c>
      <c r="M281" s="554"/>
      <c r="N281" s="5"/>
    </row>
    <row r="282" spans="1:17" ht="24" customHeight="1" thickTop="1" thickBot="1" x14ac:dyDescent="0.35">
      <c r="A282" s="555" t="str">
        <f>poste_order(A282)</f>
        <v>P4</v>
      </c>
      <c r="B282" s="557" t="str">
        <f>+B270</f>
        <v>ST - TE</v>
      </c>
      <c r="C282" s="558"/>
      <c r="D282" s="78">
        <f t="shared" ref="D282:D283" si="107">VLOOKUP(B282,$B$270:$O$273,13,0)</f>
        <v>28</v>
      </c>
      <c r="E282" s="513">
        <f t="shared" ref="E282:E283" si="108">VLOOKUP(B282,$B$270:$O$273,3,0)</f>
        <v>21.722607709750569</v>
      </c>
      <c r="F282" s="173">
        <f t="shared" ref="F282:F283" si="109">VLOOKUP(B282,$B$270:$O$273,5,0)</f>
        <v>90</v>
      </c>
      <c r="G282" s="469">
        <f t="shared" ref="G282:G283" si="110">VLOOKUP(B282,$B$270:$O$273,7,0)</f>
        <v>84.47</v>
      </c>
      <c r="H282" s="512">
        <f t="shared" ref="H282:H283" si="111">(0.478*G282^-4.75*(E282*1000)^1.75*D282)*1.1</f>
        <v>0.40340167257594978</v>
      </c>
      <c r="I282" s="513">
        <f t="shared" ref="I282:I283" si="112">VLOOKUP(B282,$B$270:$O$273,14,0)</f>
        <v>0</v>
      </c>
      <c r="J282" s="559">
        <f>+L282+I282+H282</f>
        <v>14.181315535248494</v>
      </c>
      <c r="K282" s="560"/>
      <c r="L282" s="561">
        <f>next_cell(J282)</f>
        <v>13.777913862672545</v>
      </c>
      <c r="M282" s="562"/>
      <c r="N282" s="5"/>
    </row>
    <row r="283" spans="1:17" ht="24" customHeight="1" thickTop="1" thickBot="1" x14ac:dyDescent="0.35">
      <c r="A283" s="556"/>
      <c r="B283" s="557" t="str">
        <f>+B272</f>
        <v>TE - V3.V4</v>
      </c>
      <c r="C283" s="558"/>
      <c r="D283" s="78">
        <f t="shared" si="107"/>
        <v>62</v>
      </c>
      <c r="E283" s="513">
        <f t="shared" si="108"/>
        <v>21.722607709750569</v>
      </c>
      <c r="F283" s="173">
        <f t="shared" si="109"/>
        <v>90</v>
      </c>
      <c r="G283" s="469">
        <f t="shared" si="110"/>
        <v>84.47</v>
      </c>
      <c r="H283" s="512">
        <f t="shared" si="111"/>
        <v>0.89324656070388864</v>
      </c>
      <c r="I283" s="513">
        <f t="shared" si="112"/>
        <v>0</v>
      </c>
      <c r="J283" s="561">
        <f t="shared" ref="J283" si="113">+L283+I283+H283</f>
        <v>13.715949777689984</v>
      </c>
      <c r="K283" s="562"/>
      <c r="L283" s="553">
        <f>VLOOKUP(mcv(A283),$A$252:$M$258,2,0)+1</f>
        <v>12.822703216986095</v>
      </c>
      <c r="M283" s="554"/>
      <c r="N283" s="5"/>
    </row>
    <row r="284" spans="1:17" ht="13.5" customHeight="1" thickTop="1" x14ac:dyDescent="0.3">
      <c r="A284" s="80" t="s">
        <v>141</v>
      </c>
      <c r="B284" s="5" t="s">
        <v>142</v>
      </c>
    </row>
    <row r="285" spans="1:17" ht="13.5" customHeight="1" x14ac:dyDescent="0.3">
      <c r="A285" s="80" t="s">
        <v>141</v>
      </c>
      <c r="B285" s="5" t="s">
        <v>143</v>
      </c>
      <c r="Q285" s="5"/>
    </row>
    <row r="286" spans="1:17" ht="13.5" customHeight="1" x14ac:dyDescent="0.3">
      <c r="A286" s="80" t="s">
        <v>141</v>
      </c>
      <c r="B286" s="5" t="s">
        <v>144</v>
      </c>
      <c r="Q286" s="5"/>
    </row>
    <row r="287" spans="1:17" ht="13.5" customHeight="1" x14ac:dyDescent="0.3">
      <c r="A287" s="80" t="s">
        <v>141</v>
      </c>
      <c r="B287" s="5" t="s">
        <v>145</v>
      </c>
      <c r="Q287" s="5"/>
    </row>
    <row r="288" spans="1:17" ht="13.5" customHeight="1" x14ac:dyDescent="0.3">
      <c r="A288" s="80" t="s">
        <v>141</v>
      </c>
      <c r="B288" s="5" t="s">
        <v>146</v>
      </c>
      <c r="Q288" s="5"/>
    </row>
    <row r="289" spans="1:24" ht="13.5" customHeight="1" x14ac:dyDescent="0.3">
      <c r="A289" s="60"/>
      <c r="B289" s="60"/>
      <c r="C289" s="60"/>
      <c r="D289" s="60"/>
      <c r="E289" s="60"/>
      <c r="F289" s="60"/>
      <c r="G289" s="81"/>
      <c r="H289" s="82"/>
      <c r="I289" s="82"/>
      <c r="J289" s="83"/>
      <c r="K289" s="70"/>
      <c r="L289" s="75"/>
      <c r="M289" s="75"/>
      <c r="Q289" s="5"/>
    </row>
    <row r="290" spans="1:24" ht="16.5" customHeight="1" x14ac:dyDescent="0.3">
      <c r="A290" s="473" t="s">
        <v>532</v>
      </c>
      <c r="B290" s="470"/>
      <c r="C290" s="84"/>
      <c r="D290" s="85"/>
      <c r="E290" s="86"/>
      <c r="F290" s="87"/>
      <c r="G290" s="87"/>
      <c r="H290" s="87"/>
      <c r="I290" s="87"/>
      <c r="J290" s="87"/>
      <c r="K290" s="41"/>
      <c r="L290" s="41"/>
      <c r="M290" s="41"/>
      <c r="Q290" s="5"/>
    </row>
    <row r="291" spans="1:24" ht="16.5" customHeight="1" thickBot="1" x14ac:dyDescent="0.35">
      <c r="A291" s="87"/>
      <c r="B291" s="471" t="s">
        <v>147</v>
      </c>
      <c r="C291" s="87"/>
      <c r="D291" s="87"/>
      <c r="E291" s="87"/>
      <c r="F291" s="472">
        <f>MAX(R293:R298)</f>
        <v>14.287146829987787</v>
      </c>
      <c r="G291" s="470" t="s">
        <v>148</v>
      </c>
      <c r="H291" s="41"/>
      <c r="I291" s="41"/>
      <c r="J291" s="41"/>
      <c r="K291" s="41"/>
      <c r="L291" s="41"/>
      <c r="M291" s="41"/>
      <c r="Q291" s="5"/>
    </row>
    <row r="292" spans="1:24" s="41" customFormat="1" ht="17.25" customHeight="1" thickTop="1" thickBot="1" x14ac:dyDescent="0.35">
      <c r="A292" s="34"/>
      <c r="B292" s="563" t="s">
        <v>57</v>
      </c>
      <c r="C292" s="563"/>
      <c r="D292" s="563" t="s">
        <v>149</v>
      </c>
      <c r="E292" s="563"/>
      <c r="F292" s="563" t="s">
        <v>150</v>
      </c>
      <c r="G292" s="563"/>
      <c r="H292" s="563" t="s">
        <v>151</v>
      </c>
      <c r="I292" s="563"/>
      <c r="J292" s="563" t="s">
        <v>152</v>
      </c>
      <c r="K292" s="563"/>
      <c r="L292" s="5"/>
      <c r="M292" s="76"/>
      <c r="N292" s="223" t="s">
        <v>328</v>
      </c>
      <c r="O292" s="223" t="s">
        <v>329</v>
      </c>
      <c r="P292" s="158"/>
      <c r="Q292" s="196"/>
      <c r="R292" s="218" t="s">
        <v>474</v>
      </c>
      <c r="S292" s="218" t="s">
        <v>475</v>
      </c>
      <c r="T292" s="158"/>
      <c r="U292" s="158"/>
      <c r="V292" s="158"/>
      <c r="W292" s="158"/>
      <c r="X292" s="158"/>
    </row>
    <row r="293" spans="1:24" s="41" customFormat="1" ht="17.25" customHeight="1" thickTop="1" thickBot="1" x14ac:dyDescent="0.35">
      <c r="A293" s="34"/>
      <c r="B293" s="551" t="str">
        <f>poste_order(B293)</f>
        <v>P1</v>
      </c>
      <c r="C293" s="551"/>
      <c r="D293" s="552">
        <f>+$F$291-(R293-S293)</f>
        <v>12.88851832183933</v>
      </c>
      <c r="E293" s="552"/>
      <c r="F293" s="552">
        <f>D293-1</f>
        <v>11.88851832183933</v>
      </c>
      <c r="G293" s="552"/>
      <c r="H293" s="552">
        <f>IF(AND(O293&gt;0,N293&gt;0),F293,IF(AND(N293&gt;0,O293&lt;0),F293-O293,IF(AND(O293&lt;0,N293&lt;0),F293-O293-N293,IF(AND(N293&lt;0,O293&gt;0),F293-N293,0))))</f>
        <v>11.88851832183933</v>
      </c>
      <c r="I293" s="552">
        <f>IF(AND(K293&gt;0,J293&gt;0),G293,IF(AND(J293&gt;0,K293&lt;0),G293-K293,IF(AND(K293&lt;0,J293&lt;0),G293-K293-J293,IF(AND(J293&lt;0,K293&gt;0),G293-J293,0))))</f>
        <v>0</v>
      </c>
      <c r="J293" s="552">
        <f>IF(AND(O293&lt;0,N293&lt;0),F293,IF(AND(N293&lt;0,O293&gt;0),F293-O293,IF(AND(N293&gt;0,O293&lt;0),F293-N293,IF(AND(O293&gt;0,N293&gt;0),F293-O293-N293,0))))</f>
        <v>10.572427793142481</v>
      </c>
      <c r="K293" s="552">
        <f>IF(AND(N293&lt;0,M293&lt;0),J293,IF(AND(M293&lt;0,N293&gt;0),J293-N293,IF(AND(M293&gt;0,N293&lt;0),J293-M293,IF(AND(N293&gt;0,M293&gt;0),J293-N293-M293,0))))</f>
        <v>0</v>
      </c>
      <c r="L293" s="5"/>
      <c r="M293" s="75"/>
      <c r="N293" s="159">
        <f>VLOOKUP(B293,$A$252:$M$257,10,0)</f>
        <v>0.88208867573501915</v>
      </c>
      <c r="O293" s="159">
        <f>VLOOKUP(B293,$A$252:$M$257,12,0)</f>
        <v>0.43400185296182897</v>
      </c>
      <c r="Q293" s="196"/>
      <c r="R293" s="253">
        <f>VLOOKUP(B293,$A$275:$M$288,10,0)</f>
        <v>13.714719036845304</v>
      </c>
      <c r="S293" s="253">
        <f>VLOOKUP(B293,$A$252:$M$257,2,0)+1</f>
        <v>12.316090528696847</v>
      </c>
      <c r="T293" s="158"/>
      <c r="U293" s="158"/>
      <c r="V293" s="158"/>
      <c r="W293" s="158"/>
      <c r="X293" s="158"/>
    </row>
    <row r="294" spans="1:24" ht="17.25" customHeight="1" thickTop="1" thickBot="1" x14ac:dyDescent="0.35">
      <c r="A294" s="34"/>
      <c r="B294" s="551" t="str">
        <f t="shared" ref="B294:B296" si="114">poste_order(B294)</f>
        <v>P2</v>
      </c>
      <c r="C294" s="551"/>
      <c r="D294" s="552">
        <f>+$F$291-(R294-S294)</f>
        <v>12.873487462116774</v>
      </c>
      <c r="E294" s="552"/>
      <c r="F294" s="552">
        <f t="shared" ref="F294:F295" si="115">D294-1</f>
        <v>11.873487462116774</v>
      </c>
      <c r="G294" s="552"/>
      <c r="H294" s="552">
        <f t="shared" ref="H294:H295" si="116">IF(AND(O294&gt;0,N294&gt;0),F294,IF(AND(N294&gt;0,O294&lt;0),F294-O294,IF(AND(O294&lt;0,N294&lt;0),F294-O294-N294,IF(AND(N294&lt;0,O294&gt;0),F294-N294,0))))</f>
        <v>11.873487462116774</v>
      </c>
      <c r="I294" s="552">
        <f t="shared" ref="I294:I295" si="117">IF(AND(K294&gt;0,J294&gt;0),G294,IF(AND(J294&gt;0,K294&lt;0),G294-K294,IF(AND(K294&lt;0,J294&lt;0),G294-K294-J294,IF(AND(J294&lt;0,K294&gt;0),G294-J294,0))))</f>
        <v>0</v>
      </c>
      <c r="J294" s="552">
        <f t="shared" ref="J294:J295" si="118">IF(AND(O294&lt;0,N294&lt;0),F294,IF(AND(N294&lt;0,O294&gt;0),F294-O294,IF(AND(N294&gt;0,O294&lt;0),F294-N294,IF(AND(O294&gt;0,N294&gt;0),F294-O294-N294,0))))</f>
        <v>10.000000000000002</v>
      </c>
      <c r="K294" s="552">
        <f t="shared" ref="K294:K295" si="119">IF(AND(N294&lt;0,M294&lt;0),J294,IF(AND(M294&lt;0,N294&gt;0),J294-N294,IF(AND(M294&gt;0,N294&lt;0),J294-M294,IF(AND(N294&gt;0,M294&gt;0),J294-N294-M294,0))))</f>
        <v>0</v>
      </c>
      <c r="M294" s="76"/>
      <c r="N294" s="159">
        <f>VLOOKUP(B294,$A$252:$M$257,10,0)</f>
        <v>1.107732853927996</v>
      </c>
      <c r="O294" s="159">
        <f>VLOOKUP(B294,$A$252:$M$257,12,0)</f>
        <v>0.76575460818877739</v>
      </c>
      <c r="P294" s="5"/>
      <c r="R294" s="411">
        <f>VLOOKUP(B294,$A$275:$M$288,10,0)</f>
        <v>14.287146829987787</v>
      </c>
      <c r="S294" s="390">
        <f>VLOOKUP(B294,$A$252:$M$257,2,0)+1</f>
        <v>12.873487462116774</v>
      </c>
      <c r="T294" s="158"/>
      <c r="U294" s="158"/>
    </row>
    <row r="295" spans="1:24" ht="17.25" customHeight="1" thickTop="1" thickBot="1" x14ac:dyDescent="0.35">
      <c r="A295" s="34"/>
      <c r="B295" s="551" t="str">
        <f t="shared" si="114"/>
        <v>P3</v>
      </c>
      <c r="C295" s="551"/>
      <c r="D295" s="552">
        <f t="shared" ref="D295" si="120">+$F$291-(R295-S295)</f>
        <v>12.915855357462688</v>
      </c>
      <c r="E295" s="552"/>
      <c r="F295" s="552">
        <f t="shared" si="115"/>
        <v>11.915855357462688</v>
      </c>
      <c r="G295" s="552"/>
      <c r="H295" s="552">
        <f t="shared" si="116"/>
        <v>11.915855357462688</v>
      </c>
      <c r="I295" s="552">
        <f t="shared" si="117"/>
        <v>0</v>
      </c>
      <c r="J295" s="552">
        <f t="shared" si="118"/>
        <v>10.289177211924898</v>
      </c>
      <c r="K295" s="552">
        <f t="shared" si="119"/>
        <v>0</v>
      </c>
      <c r="M295" s="75"/>
      <c r="N295" s="159">
        <f>VLOOKUP(B295,$A$252:$M$257,10,0)</f>
        <v>1.1205488367296772</v>
      </c>
      <c r="O295" s="159">
        <f>VLOOKUP(B295,$A$252:$M$257,12,0)</f>
        <v>0.50612930880811247</v>
      </c>
      <c r="P295" s="5"/>
      <c r="R295" s="517">
        <f>VLOOKUP(B295,$A$275:$M$288,10,0)</f>
        <v>13.997969618062889</v>
      </c>
      <c r="S295" s="517">
        <f>VLOOKUP(B295,$A$252:$M$257,2,0)+1</f>
        <v>12.62667814553779</v>
      </c>
      <c r="T295" s="158"/>
      <c r="U295" s="158"/>
    </row>
    <row r="296" spans="1:24" ht="17.25" customHeight="1" thickTop="1" thickBot="1" x14ac:dyDescent="0.35">
      <c r="A296" s="34"/>
      <c r="B296" s="551" t="str">
        <f t="shared" si="114"/>
        <v>P4</v>
      </c>
      <c r="C296" s="551"/>
      <c r="D296" s="552">
        <f t="shared" ref="D296" si="121">+$F$291-(R296-S296)</f>
        <v>12.928534511725388</v>
      </c>
      <c r="E296" s="552"/>
      <c r="F296" s="552">
        <f t="shared" ref="F296" si="122">D296-1</f>
        <v>11.928534511725388</v>
      </c>
      <c r="G296" s="552"/>
      <c r="H296" s="552">
        <f t="shared" ref="H296" si="123">IF(AND(O296&gt;0,N296&gt;0),F296,IF(AND(N296&gt;0,O296&lt;0),F296-O296,IF(AND(O296&lt;0,N296&lt;0),F296-O296-N296,IF(AND(N296&lt;0,O296&gt;0),F296-N296,0))))</f>
        <v>11.928534511725388</v>
      </c>
      <c r="I296" s="552">
        <f t="shared" ref="I296" si="124">IF(AND(K296&gt;0,J296&gt;0),G296,IF(AND(J296&gt;0,K296&lt;0),G296-K296,IF(AND(K296&lt;0,J296&lt;0),G296-K296-J296,IF(AND(J296&lt;0,K296&gt;0),G296-J296,0))))</f>
        <v>0</v>
      </c>
      <c r="J296" s="552">
        <f t="shared" ref="J296" si="125">IF(AND(O296&lt;0,N296&lt;0),F296,IF(AND(N296&lt;0,O296&gt;0),F296-O296,IF(AND(N296&gt;0,O296&lt;0),F296-N296,IF(AND(O296&gt;0,N296&gt;0),F296-O296-N296,0))))</f>
        <v>10.105831294739291</v>
      </c>
      <c r="K296" s="552">
        <f t="shared" ref="K296" si="126">IF(AND(N296&lt;0,M296&lt;0),J296,IF(AND(M296&lt;0,N296&gt;0),J296-N296,IF(AND(M296&gt;0,N296&lt;0),J296-M296,IF(AND(N296&gt;0,M296&gt;0),J296-N296-M296,0))))</f>
        <v>0</v>
      </c>
      <c r="M296" s="75"/>
      <c r="N296" s="159">
        <f>VLOOKUP(B296,$A$252:$M$257,10,0)</f>
        <v>0.93020860359613622</v>
      </c>
      <c r="O296" s="159">
        <f>VLOOKUP(B296,$A$252:$M$257,12,0)</f>
        <v>0.89249461338995939</v>
      </c>
      <c r="P296" s="5"/>
      <c r="R296" s="499">
        <f>VLOOKUP(B296,$A$275:$M$288,10,0)</f>
        <v>14.181315535248494</v>
      </c>
      <c r="S296" s="499">
        <f>VLOOKUP(B296,$A$252:$M$257,2,0)+1</f>
        <v>12.822703216986095</v>
      </c>
      <c r="T296" s="158"/>
      <c r="U296" s="158"/>
    </row>
    <row r="297" spans="1:24" ht="16.5" customHeight="1" thickTop="1" x14ac:dyDescent="0.3">
      <c r="A297" s="32" t="s">
        <v>153</v>
      </c>
      <c r="B297" s="16"/>
      <c r="C297" s="79"/>
      <c r="D297" s="79"/>
      <c r="E297" s="88"/>
      <c r="F297" s="88"/>
      <c r="G297" s="88"/>
      <c r="H297" s="88"/>
      <c r="I297" s="88"/>
      <c r="J297" s="88"/>
      <c r="K297" s="88"/>
      <c r="L297" s="88"/>
      <c r="M297" s="76"/>
      <c r="N297" s="158"/>
      <c r="O297" s="158"/>
      <c r="P297" s="158"/>
      <c r="R297" s="158"/>
      <c r="S297" s="158"/>
      <c r="T297" s="158"/>
      <c r="U297" s="158"/>
    </row>
    <row r="298" spans="1:24" ht="16.5" customHeight="1" x14ac:dyDescent="0.3">
      <c r="A298" s="32" t="s">
        <v>154</v>
      </c>
      <c r="B298" s="16"/>
      <c r="C298" s="79"/>
      <c r="D298" s="79"/>
      <c r="E298" s="88"/>
      <c r="F298" s="88"/>
      <c r="G298" s="88"/>
      <c r="H298" s="88"/>
      <c r="I298" s="88"/>
      <c r="J298" s="88"/>
      <c r="K298" s="88"/>
      <c r="L298" s="88"/>
      <c r="M298" s="75"/>
      <c r="N298" s="158"/>
      <c r="O298" s="158"/>
      <c r="P298" s="158"/>
      <c r="R298" s="158"/>
      <c r="S298" s="158"/>
      <c r="T298" s="158"/>
      <c r="U298" s="158"/>
    </row>
    <row r="299" spans="1:24" ht="16.5" customHeight="1" x14ac:dyDescent="0.3">
      <c r="A299" s="32" t="s">
        <v>155</v>
      </c>
      <c r="B299" s="16"/>
      <c r="C299" s="79"/>
      <c r="D299" s="79"/>
      <c r="E299" s="88"/>
      <c r="F299" s="88"/>
      <c r="G299" s="88"/>
      <c r="H299" s="88"/>
      <c r="I299" s="88"/>
      <c r="J299" s="88"/>
      <c r="K299" s="88"/>
      <c r="L299" s="88"/>
      <c r="M299" s="88"/>
      <c r="N299" s="208"/>
      <c r="O299" s="205"/>
      <c r="P299" s="146"/>
      <c r="Q299" s="231"/>
      <c r="R299" s="208"/>
      <c r="S299" s="208"/>
      <c r="T299" s="208"/>
      <c r="U299" s="208"/>
    </row>
    <row r="300" spans="1:24" ht="16.5" customHeight="1" x14ac:dyDescent="0.3">
      <c r="A300" s="32" t="s">
        <v>123</v>
      </c>
      <c r="B300" s="16"/>
      <c r="C300" s="79"/>
      <c r="D300" s="79"/>
      <c r="E300" s="88"/>
      <c r="F300" s="88"/>
      <c r="G300" s="88"/>
      <c r="H300" s="88"/>
      <c r="I300" s="88"/>
      <c r="J300" s="88"/>
      <c r="K300" s="88"/>
      <c r="L300" s="88"/>
      <c r="M300" s="88"/>
      <c r="P300" s="5"/>
    </row>
    <row r="301" spans="1:24" ht="15.75" customHeight="1" x14ac:dyDescent="0.3">
      <c r="A301" s="34"/>
      <c r="B301" s="34"/>
      <c r="C301" s="75"/>
      <c r="D301" s="75"/>
      <c r="E301" s="76"/>
      <c r="F301" s="76"/>
      <c r="G301" s="76"/>
      <c r="H301" s="76"/>
      <c r="I301" s="76"/>
      <c r="J301" s="76"/>
      <c r="K301" s="76"/>
      <c r="L301" s="76"/>
      <c r="M301" s="76"/>
      <c r="P301" s="5"/>
    </row>
    <row r="302" spans="1:24" ht="15.75" customHeight="1" x14ac:dyDescent="0.3">
      <c r="A302" s="474" t="s">
        <v>156</v>
      </c>
      <c r="B302" s="195"/>
      <c r="C302" s="195"/>
      <c r="D302" s="195"/>
      <c r="E302" s="195"/>
      <c r="F302" s="4"/>
      <c r="G302" s="4"/>
      <c r="R302" s="231"/>
    </row>
    <row r="303" spans="1:24" ht="15.75" customHeight="1" x14ac:dyDescent="0.3">
      <c r="A303" s="17" t="s">
        <v>157</v>
      </c>
      <c r="B303" s="3"/>
      <c r="C303" s="3"/>
      <c r="D303" s="3"/>
      <c r="E303" s="3"/>
      <c r="F303" s="4"/>
      <c r="G303" s="4"/>
    </row>
    <row r="304" spans="1:24" s="146" customFormat="1" ht="21.75" customHeight="1" x14ac:dyDescent="0.3">
      <c r="A304" s="405" t="s">
        <v>344</v>
      </c>
      <c r="B304" s="406"/>
      <c r="C304" s="406"/>
      <c r="D304" s="406"/>
      <c r="E304" s="406"/>
      <c r="F304" s="406"/>
      <c r="G304" s="407">
        <f>F291</f>
        <v>14.287146829987787</v>
      </c>
      <c r="H304" s="408" t="s">
        <v>283</v>
      </c>
      <c r="K304" s="408"/>
      <c r="L304" s="147"/>
      <c r="M304" s="147"/>
      <c r="N304" s="231"/>
      <c r="O304" s="231"/>
      <c r="R304" s="196"/>
      <c r="S304" s="231"/>
      <c r="T304" s="231"/>
      <c r="U304" s="231"/>
      <c r="V304" s="231"/>
      <c r="W304" s="209"/>
      <c r="X304" s="209"/>
    </row>
    <row r="305" spans="1:17" ht="15.6" customHeight="1" x14ac:dyDescent="0.3">
      <c r="A305" s="90" t="s">
        <v>343</v>
      </c>
      <c r="B305" s="45"/>
      <c r="C305" s="45"/>
      <c r="D305" s="45"/>
      <c r="E305" s="45"/>
      <c r="F305" s="45"/>
      <c r="G305" s="35">
        <v>8</v>
      </c>
      <c r="H305" s="91" t="s">
        <v>283</v>
      </c>
      <c r="K305" s="91"/>
      <c r="L305" s="76"/>
      <c r="M305" s="76"/>
      <c r="P305" s="5"/>
      <c r="Q305" s="5"/>
    </row>
    <row r="306" spans="1:17" ht="15.75" customHeight="1" x14ac:dyDescent="0.3">
      <c r="A306" s="90" t="s">
        <v>342</v>
      </c>
      <c r="B306" s="45"/>
      <c r="C306" s="45"/>
      <c r="D306" s="45"/>
      <c r="E306" s="45"/>
      <c r="F306" s="45"/>
      <c r="G306" s="39">
        <f>D427</f>
        <v>4</v>
      </c>
      <c r="H306" s="91" t="s">
        <v>283</v>
      </c>
      <c r="K306" s="91"/>
      <c r="L306" s="76"/>
      <c r="M306" s="76"/>
      <c r="P306" s="5"/>
      <c r="Q306" s="5"/>
    </row>
    <row r="307" spans="1:17" ht="15.75" customHeight="1" x14ac:dyDescent="0.3">
      <c r="A307" s="90"/>
      <c r="B307" s="45"/>
      <c r="C307" s="45"/>
      <c r="D307" s="45"/>
      <c r="E307" s="45"/>
      <c r="F307" s="45"/>
      <c r="G307" s="35"/>
      <c r="H307" s="91"/>
      <c r="K307" s="91"/>
      <c r="L307" s="76"/>
      <c r="M307" s="76"/>
      <c r="P307" s="5"/>
      <c r="Q307" s="5"/>
    </row>
    <row r="308" spans="1:17" ht="21" customHeight="1" x14ac:dyDescent="0.3">
      <c r="A308" s="565" t="s">
        <v>158</v>
      </c>
      <c r="B308" s="565"/>
      <c r="C308" s="565"/>
      <c r="D308" s="565"/>
      <c r="E308" s="565"/>
      <c r="F308" s="565"/>
      <c r="G308" s="145">
        <f>+G304+G305+G306</f>
        <v>26.287146829987787</v>
      </c>
      <c r="H308" s="144" t="s">
        <v>283</v>
      </c>
      <c r="K308" s="76"/>
      <c r="L308" s="76"/>
      <c r="M308" s="76"/>
      <c r="P308" s="5"/>
      <c r="Q308" s="5"/>
    </row>
    <row r="309" spans="1:17" ht="21" customHeight="1" x14ac:dyDescent="0.3">
      <c r="A309" s="574" t="s">
        <v>345</v>
      </c>
      <c r="B309" s="574"/>
      <c r="C309" s="574"/>
      <c r="D309" s="574"/>
      <c r="E309" s="574"/>
      <c r="F309" s="574"/>
      <c r="G309" s="145">
        <f>+MAX($O$169:$O$170)</f>
        <v>21.722607709750569</v>
      </c>
      <c r="H309" s="145" t="s">
        <v>159</v>
      </c>
      <c r="K309" s="76"/>
      <c r="L309" s="76"/>
      <c r="M309" s="76"/>
    </row>
    <row r="310" spans="1:17" ht="15.75" customHeight="1" x14ac:dyDescent="0.3">
      <c r="A310"/>
      <c r="C310" s="45"/>
      <c r="D310" s="45"/>
      <c r="E310" s="45"/>
      <c r="F310" s="45"/>
      <c r="G310"/>
      <c r="H310" s="45"/>
      <c r="I310" s="45"/>
      <c r="J310" s="45"/>
      <c r="K310" s="76"/>
      <c r="L310" s="76"/>
      <c r="M310" s="76"/>
    </row>
    <row r="311" spans="1:17" ht="15.75" customHeight="1" x14ac:dyDescent="0.3">
      <c r="A311" s="17" t="s">
        <v>160</v>
      </c>
      <c r="B311" s="3"/>
      <c r="C311" s="3"/>
      <c r="D311" s="3"/>
      <c r="E311" s="3"/>
      <c r="F311" s="4"/>
      <c r="G311" s="4"/>
    </row>
    <row r="312" spans="1:17" ht="15.75" customHeight="1" thickBot="1" x14ac:dyDescent="0.35">
      <c r="A312"/>
      <c r="B312" s="92"/>
      <c r="C312"/>
      <c r="D312"/>
      <c r="E312"/>
      <c r="F312"/>
      <c r="G312"/>
      <c r="H312"/>
      <c r="I312"/>
      <c r="J312"/>
      <c r="K312" s="76"/>
      <c r="L312" s="76"/>
      <c r="M312" s="76"/>
    </row>
    <row r="313" spans="1:17" ht="15.75" customHeight="1" thickTop="1" thickBot="1" x14ac:dyDescent="0.35">
      <c r="A313"/>
      <c r="B313" s="571" t="s">
        <v>161</v>
      </c>
      <c r="C313" s="572"/>
      <c r="D313" s="572"/>
      <c r="E313" s="572"/>
      <c r="F313" s="572"/>
      <c r="G313" s="572"/>
      <c r="H313" s="572"/>
      <c r="I313" s="572"/>
      <c r="J313" s="572"/>
      <c r="K313" s="573"/>
      <c r="L313" s="76"/>
      <c r="M313" s="76"/>
    </row>
    <row r="314" spans="1:17" ht="15.6" customHeight="1" thickTop="1" thickBot="1" x14ac:dyDescent="0.35">
      <c r="A314"/>
      <c r="B314" s="92" t="s">
        <v>162</v>
      </c>
      <c r="C314"/>
      <c r="D314"/>
      <c r="E314"/>
      <c r="F314"/>
      <c r="G314"/>
      <c r="H314"/>
      <c r="I314"/>
      <c r="J314"/>
      <c r="K314" s="76"/>
      <c r="L314" s="76"/>
      <c r="M314" s="76"/>
    </row>
    <row r="315" spans="1:17" ht="15.75" customHeight="1" thickTop="1" thickBot="1" x14ac:dyDescent="0.35">
      <c r="A315"/>
      <c r="B315" s="568" t="s">
        <v>163</v>
      </c>
      <c r="C315" s="569"/>
      <c r="D315" s="569"/>
      <c r="E315" s="569"/>
      <c r="F315" s="569"/>
      <c r="G315" s="569"/>
      <c r="H315" s="569"/>
      <c r="I315" s="569"/>
      <c r="J315" s="569"/>
      <c r="K315" s="570"/>
      <c r="L315" s="76"/>
      <c r="M315" s="76"/>
    </row>
    <row r="316" spans="1:17" ht="15.75" customHeight="1" thickTop="1" thickBot="1" x14ac:dyDescent="0.35">
      <c r="A316"/>
      <c r="B316"/>
      <c r="C316"/>
      <c r="D316"/>
      <c r="E316"/>
      <c r="F316"/>
      <c r="G316"/>
      <c r="H316"/>
      <c r="I316"/>
      <c r="J316"/>
      <c r="K316" s="76"/>
      <c r="L316" s="76"/>
      <c r="M316" s="76"/>
    </row>
    <row r="317" spans="1:17" ht="15.75" customHeight="1" thickTop="1" thickBot="1" x14ac:dyDescent="0.35">
      <c r="B317" s="566" t="s">
        <v>164</v>
      </c>
      <c r="C317" s="567"/>
      <c r="D317" s="156"/>
      <c r="E317" s="566" t="s">
        <v>165</v>
      </c>
      <c r="F317" s="567"/>
      <c r="G317" s="158"/>
      <c r="H317" s="152" t="s">
        <v>166</v>
      </c>
      <c r="I317" s="156"/>
      <c r="J317" s="566" t="s">
        <v>167</v>
      </c>
      <c r="K317" s="567"/>
      <c r="M317" s="76"/>
    </row>
    <row r="318" spans="1:17" ht="15.75" customHeight="1" thickTop="1" thickBot="1" x14ac:dyDescent="0.35">
      <c r="B318" s="154">
        <f>+G309</f>
        <v>21.722607709750569</v>
      </c>
      <c r="C318" s="152" t="s">
        <v>159</v>
      </c>
      <c r="D318" s="156"/>
      <c r="E318" s="154">
        <f>+G308</f>
        <v>26.287146829987787</v>
      </c>
      <c r="F318" s="152" t="s">
        <v>148</v>
      </c>
      <c r="G318" s="158"/>
      <c r="H318" s="153">
        <v>0.57999999999999996</v>
      </c>
      <c r="I318" s="156"/>
      <c r="J318" s="151">
        <f>(9810*E318*B318/3600)/(H318*1000)</f>
        <v>2.6828347519487816</v>
      </c>
      <c r="K318" s="152" t="s">
        <v>168</v>
      </c>
      <c r="M318" s="76"/>
    </row>
    <row r="319" spans="1:17" ht="15.75" customHeight="1" thickTop="1" x14ac:dyDescent="0.3">
      <c r="A319"/>
      <c r="B319"/>
      <c r="C319"/>
      <c r="D319"/>
      <c r="E319"/>
      <c r="F319"/>
      <c r="G319"/>
      <c r="H319"/>
      <c r="I319"/>
      <c r="J319"/>
      <c r="K319" s="76"/>
      <c r="L319" s="76"/>
      <c r="M319" s="76"/>
    </row>
    <row r="320" spans="1:17" ht="15.75" customHeight="1" x14ac:dyDescent="0.3">
      <c r="A320" s="93" t="s">
        <v>169</v>
      </c>
      <c r="B320"/>
      <c r="C320"/>
      <c r="D320"/>
      <c r="E320"/>
      <c r="F320"/>
      <c r="G320"/>
      <c r="H320"/>
      <c r="I320"/>
      <c r="J320"/>
      <c r="K320" s="76"/>
      <c r="L320" s="76"/>
      <c r="M320" s="76"/>
    </row>
    <row r="321" spans="1:20" ht="15.75" customHeight="1" x14ac:dyDescent="0.3">
      <c r="A321" s="92"/>
      <c r="B321" s="90" t="s">
        <v>170</v>
      </c>
      <c r="C321" s="94" t="s">
        <v>171</v>
      </c>
      <c r="D321" s="94"/>
      <c r="E321"/>
      <c r="F321"/>
      <c r="G321"/>
      <c r="H321"/>
      <c r="I321"/>
      <c r="J321"/>
      <c r="K321" s="76"/>
      <c r="L321" s="76"/>
      <c r="M321" s="76"/>
    </row>
    <row r="322" spans="1:20" ht="15.75" customHeight="1" x14ac:dyDescent="0.3">
      <c r="A322" s="92"/>
      <c r="B322" s="90" t="s">
        <v>172</v>
      </c>
      <c r="C322" s="94" t="s">
        <v>173</v>
      </c>
      <c r="D322" s="94"/>
      <c r="E322"/>
      <c r="F322"/>
      <c r="G322"/>
      <c r="H322"/>
      <c r="I322"/>
      <c r="J322"/>
      <c r="K322" s="76"/>
      <c r="L322" s="76"/>
      <c r="M322" s="76"/>
    </row>
    <row r="323" spans="1:20" ht="15.75" customHeight="1" x14ac:dyDescent="0.3">
      <c r="A323" s="92"/>
      <c r="B323" s="90" t="s">
        <v>174</v>
      </c>
      <c r="C323" s="94" t="s">
        <v>175</v>
      </c>
      <c r="D323" s="94"/>
      <c r="E323"/>
      <c r="F323"/>
      <c r="G323"/>
      <c r="H323"/>
      <c r="I323"/>
      <c r="J323"/>
      <c r="K323" s="76"/>
      <c r="L323" s="76"/>
      <c r="M323" s="76"/>
      <c r="O323" s="255" t="s">
        <v>563</v>
      </c>
      <c r="P323" s="255"/>
      <c r="Q323" s="255"/>
    </row>
    <row r="324" spans="1:20" ht="15.75" customHeight="1" x14ac:dyDescent="0.3">
      <c r="A324" s="92"/>
      <c r="B324" s="90" t="s">
        <v>176</v>
      </c>
      <c r="C324" s="94" t="s">
        <v>177</v>
      </c>
      <c r="D324" s="94"/>
      <c r="E324"/>
      <c r="F324"/>
      <c r="G324"/>
      <c r="H324"/>
      <c r="I324"/>
      <c r="J324"/>
      <c r="K324" s="76"/>
      <c r="L324" s="76"/>
      <c r="M324" s="76"/>
      <c r="O324" s="255"/>
      <c r="P324" s="255"/>
      <c r="Q324" s="255"/>
    </row>
    <row r="325" spans="1:20" ht="15.75" customHeight="1" x14ac:dyDescent="0.3">
      <c r="A325" s="92"/>
      <c r="B325" s="90" t="s">
        <v>178</v>
      </c>
      <c r="C325" s="94" t="s">
        <v>479</v>
      </c>
      <c r="D325" s="94"/>
      <c r="E325"/>
      <c r="F325"/>
      <c r="G325"/>
      <c r="H325"/>
      <c r="I325"/>
      <c r="J325"/>
      <c r="K325" s="76"/>
      <c r="L325" s="76"/>
      <c r="M325" s="76"/>
      <c r="O325" s="674"/>
      <c r="P325" s="674"/>
      <c r="Q325" s="674"/>
      <c r="R325" s="674"/>
      <c r="S325" s="674"/>
      <c r="T325" s="674"/>
    </row>
    <row r="326" spans="1:20" ht="15.75" customHeight="1" x14ac:dyDescent="0.3">
      <c r="A326" s="92"/>
      <c r="B326"/>
      <c r="C326"/>
      <c r="D326"/>
      <c r="E326"/>
      <c r="F326"/>
      <c r="G326"/>
      <c r="H326"/>
      <c r="I326"/>
      <c r="J326"/>
      <c r="K326" s="76"/>
      <c r="L326" s="76"/>
      <c r="M326" s="76"/>
      <c r="O326" s="674"/>
      <c r="P326" s="674"/>
      <c r="Q326" s="674"/>
      <c r="R326" s="674"/>
      <c r="S326" s="674"/>
      <c r="T326" s="674"/>
    </row>
    <row r="327" spans="1:20" ht="15.75" customHeight="1" x14ac:dyDescent="0.3">
      <c r="A327" s="17" t="s">
        <v>180</v>
      </c>
      <c r="B327" s="3"/>
      <c r="C327" s="3"/>
      <c r="D327" s="3"/>
      <c r="E327" s="3"/>
      <c r="F327" s="4"/>
      <c r="G327" s="4"/>
    </row>
    <row r="328" spans="1:20" ht="15.75" customHeight="1" thickBot="1" x14ac:dyDescent="0.35">
      <c r="A328"/>
      <c r="B328"/>
      <c r="C328" s="95"/>
      <c r="D328" s="95"/>
      <c r="E328" s="95"/>
      <c r="F328" s="95"/>
      <c r="G328" s="95"/>
      <c r="H328" s="95"/>
      <c r="I328" s="95"/>
      <c r="J328" s="95"/>
      <c r="K328" s="76"/>
      <c r="L328" s="76"/>
      <c r="M328" s="76"/>
    </row>
    <row r="329" spans="1:20" ht="15.75" customHeight="1" thickTop="1" thickBot="1" x14ac:dyDescent="0.35">
      <c r="A329"/>
      <c r="C329" s="612" t="s">
        <v>181</v>
      </c>
      <c r="D329" s="613"/>
      <c r="E329" s="613"/>
      <c r="F329" s="613"/>
      <c r="G329" s="613"/>
      <c r="H329" s="613"/>
      <c r="I329" s="613"/>
      <c r="J329" s="614"/>
      <c r="K329"/>
      <c r="L329" s="76"/>
      <c r="M329" s="76"/>
    </row>
    <row r="330" spans="1:20" ht="15.6" customHeight="1" thickTop="1" thickBot="1" x14ac:dyDescent="0.35">
      <c r="A330"/>
      <c r="B330"/>
      <c r="C330"/>
      <c r="D330"/>
      <c r="E330"/>
      <c r="F330"/>
      <c r="G330"/>
      <c r="H330"/>
      <c r="I330"/>
      <c r="J330"/>
      <c r="K330" s="76"/>
      <c r="L330" s="76"/>
      <c r="M330" s="76"/>
    </row>
    <row r="331" spans="1:20" ht="17.25" customHeight="1" thickTop="1" thickBot="1" x14ac:dyDescent="0.35">
      <c r="B331" s="566" t="s">
        <v>167</v>
      </c>
      <c r="C331" s="567"/>
      <c r="D331" s="156"/>
      <c r="E331" s="566" t="s">
        <v>182</v>
      </c>
      <c r="F331" s="567"/>
      <c r="G331" s="157"/>
      <c r="H331" s="611" t="s">
        <v>183</v>
      </c>
      <c r="I331" s="611"/>
      <c r="J331" s="611"/>
      <c r="K331" s="567"/>
    </row>
    <row r="332" spans="1:20" ht="15.75" customHeight="1" thickTop="1" thickBot="1" x14ac:dyDescent="0.35">
      <c r="B332" s="154">
        <f>+J318</f>
        <v>2.6828347519487816</v>
      </c>
      <c r="C332" s="152" t="s">
        <v>168</v>
      </c>
      <c r="D332" s="156"/>
      <c r="E332" s="595">
        <v>0.9</v>
      </c>
      <c r="F332" s="596"/>
      <c r="G332" s="156"/>
      <c r="H332" s="601">
        <f>B332/E332</f>
        <v>2.9809275021653128</v>
      </c>
      <c r="I332" s="602"/>
      <c r="J332" s="579">
        <f>H332*1.341</f>
        <v>3.9974237804036843</v>
      </c>
      <c r="K332" s="580"/>
    </row>
    <row r="333" spans="1:20" ht="15.75" customHeight="1" thickTop="1" x14ac:dyDescent="0.3">
      <c r="A333"/>
      <c r="B333"/>
      <c r="C333"/>
      <c r="D333"/>
      <c r="E333"/>
      <c r="F333"/>
      <c r="G333"/>
      <c r="H333"/>
      <c r="I333"/>
      <c r="J333"/>
      <c r="K333" s="76"/>
      <c r="L333" s="76"/>
      <c r="M333" s="76"/>
    </row>
    <row r="334" spans="1:20" ht="15.75" customHeight="1" x14ac:dyDescent="0.3">
      <c r="B334" s="148"/>
      <c r="C334" s="148"/>
      <c r="D334" s="575" t="s">
        <v>347</v>
      </c>
      <c r="E334" s="575"/>
      <c r="F334" s="575"/>
      <c r="G334" s="575"/>
      <c r="H334" s="575"/>
      <c r="I334" s="149">
        <f>IF(J332&lt;=1,1,IF(J332&lt;=1.5,1.5,IF(J332&lt;=2,2,IF(J332&lt;=3,3,IF(J332&lt;=4,4,IF(J332&lt;=5.5,5.5,IF(J332&lt;=7.5,7.5,IF(J332&lt;=10,10,IF(J332&lt;=12.5,12.5,IF(J332&lt;=15,15,IF(J332&lt;=17.5,17.5,IF(J332&lt;=20,20,IF(J332&lt;=22.5,25,25)))))))))))))</f>
        <v>4</v>
      </c>
      <c r="J334" s="149" t="s">
        <v>346</v>
      </c>
      <c r="K334" s="148"/>
      <c r="L334" s="148"/>
      <c r="M334" s="148"/>
    </row>
    <row r="335" spans="1:20" ht="15.75" customHeight="1" x14ac:dyDescent="0.3">
      <c r="A335" s="34"/>
      <c r="B335" s="34"/>
      <c r="C335" s="75"/>
      <c r="D335" s="75"/>
      <c r="E335" s="76"/>
      <c r="F335" s="76"/>
      <c r="G335" s="76"/>
      <c r="H335" s="76"/>
      <c r="I335" s="76"/>
      <c r="J335" s="76"/>
      <c r="K335" s="76"/>
      <c r="L335" s="76"/>
      <c r="M335" s="76"/>
    </row>
    <row r="336" spans="1:20" ht="15.75" customHeight="1" thickBot="1" x14ac:dyDescent="0.35">
      <c r="A336" s="11" t="s">
        <v>184</v>
      </c>
      <c r="B336" s="3"/>
      <c r="C336" s="3"/>
      <c r="E336" s="22" t="str">
        <f>UPPER(E117)</f>
        <v>FORAGE</v>
      </c>
      <c r="F336" s="4"/>
      <c r="G336" s="4"/>
    </row>
    <row r="337" spans="1:24" ht="15.75" customHeight="1" thickTop="1" thickBot="1" x14ac:dyDescent="0.35">
      <c r="A337" s="578" t="s">
        <v>185</v>
      </c>
      <c r="B337" s="578"/>
      <c r="C337" s="117" t="s">
        <v>186</v>
      </c>
      <c r="D337" s="584" t="s">
        <v>187</v>
      </c>
      <c r="E337" s="584"/>
      <c r="F337" s="584" t="s">
        <v>188</v>
      </c>
      <c r="G337" s="584"/>
      <c r="H337" s="584" t="s">
        <v>97</v>
      </c>
      <c r="I337" s="584"/>
      <c r="J337" s="584" t="s">
        <v>189</v>
      </c>
      <c r="K337" s="584"/>
      <c r="L337" s="584" t="s">
        <v>190</v>
      </c>
      <c r="M337" s="584"/>
      <c r="O337" s="466" t="s">
        <v>187</v>
      </c>
      <c r="P337" s="305" t="s">
        <v>457</v>
      </c>
      <c r="Q337" s="255"/>
    </row>
    <row r="338" spans="1:24" ht="15.6" customHeight="1" thickTop="1" thickBot="1" x14ac:dyDescent="0.35">
      <c r="A338" s="578"/>
      <c r="B338" s="578"/>
      <c r="C338" s="150" t="s">
        <v>103</v>
      </c>
      <c r="D338" s="564" t="s">
        <v>191</v>
      </c>
      <c r="E338" s="564"/>
      <c r="F338" s="564" t="s">
        <v>192</v>
      </c>
      <c r="G338" s="564"/>
      <c r="H338" s="564" t="s">
        <v>103</v>
      </c>
      <c r="I338" s="564"/>
      <c r="J338" s="564" t="s">
        <v>69</v>
      </c>
      <c r="K338" s="564"/>
      <c r="L338" s="564" t="s">
        <v>104</v>
      </c>
      <c r="M338" s="564"/>
      <c r="O338" s="467" t="s">
        <v>533</v>
      </c>
      <c r="P338" s="306" t="s">
        <v>458</v>
      </c>
      <c r="Q338" s="255"/>
    </row>
    <row r="339" spans="1:24" ht="20.25" customHeight="1" thickTop="1" thickBot="1" x14ac:dyDescent="0.35">
      <c r="A339" s="97" t="str">
        <f>E336</f>
        <v>FORAGE</v>
      </c>
      <c r="B339" s="98" t="s">
        <v>193</v>
      </c>
      <c r="C339" s="238">
        <v>20</v>
      </c>
      <c r="D339" s="582">
        <v>15</v>
      </c>
      <c r="E339" s="582"/>
      <c r="F339" s="243">
        <v>75</v>
      </c>
      <c r="G339" s="244">
        <f>+VLOOKUP(F339,'Diamétre Interieur'!$A$3:$C$17,3,0)</f>
        <v>69.339999999999989</v>
      </c>
      <c r="H339" s="581">
        <v>0</v>
      </c>
      <c r="I339" s="581"/>
      <c r="J339" s="577">
        <f>(0.478*G339^-4.75*(D339*1000)^1.75*C339)*1.1+H339</f>
        <v>0.38489037742302951</v>
      </c>
      <c r="K339" s="577" t="e">
        <f>(0.478*H339^-4.75*(F339*1000)^1.75*E339)*1.1</f>
        <v>#DIV/0!</v>
      </c>
      <c r="L339" s="577">
        <f>4*D339/(3600*PI()*((G339*0.001)^2))</f>
        <v>1.1033954843699258</v>
      </c>
      <c r="M339" s="577"/>
      <c r="O339" s="465">
        <f>IF(isVisible(A376)=0,D339,D339+D376)</f>
        <v>15</v>
      </c>
      <c r="P339" s="307">
        <f ca="1">(F410-(1.2*7*(Rapport!G98/10000))/31)/O339</f>
        <v>10.734070967741935</v>
      </c>
      <c r="Q339" s="255"/>
    </row>
    <row r="340" spans="1:24" s="58" customFormat="1" ht="16.5" customHeight="1" thickTop="1" x14ac:dyDescent="0.3">
      <c r="A340" s="99"/>
      <c r="B340" s="27"/>
      <c r="C340" s="38"/>
      <c r="D340" s="33"/>
      <c r="E340" s="33"/>
      <c r="F340" s="100"/>
      <c r="G340" s="101"/>
      <c r="H340" s="102"/>
      <c r="I340" s="102"/>
      <c r="J340" s="102"/>
      <c r="K340" s="102"/>
      <c r="L340" s="102"/>
      <c r="M340" s="102"/>
      <c r="N340" s="231"/>
      <c r="O340" s="255"/>
      <c r="P340" s="255"/>
      <c r="Q340" s="255"/>
      <c r="R340" s="209"/>
      <c r="S340" s="209"/>
      <c r="T340" s="209"/>
      <c r="U340" s="231"/>
      <c r="V340" s="231"/>
      <c r="W340" s="199"/>
      <c r="X340" s="199"/>
    </row>
    <row r="341" spans="1:24" s="58" customFormat="1" ht="16.5" customHeight="1" x14ac:dyDescent="0.3">
      <c r="A341" s="90" t="s">
        <v>194</v>
      </c>
      <c r="B341" s="45"/>
      <c r="C341" s="5"/>
      <c r="D341" s="91"/>
      <c r="E341" s="91"/>
      <c r="F341" s="5"/>
      <c r="G341" s="45"/>
      <c r="H341" s="239">
        <v>100</v>
      </c>
      <c r="I341" s="22" t="s">
        <v>35</v>
      </c>
      <c r="J341" s="5"/>
      <c r="K341" s="76"/>
      <c r="L341" s="76"/>
      <c r="M341" s="76"/>
      <c r="N341" s="231"/>
      <c r="O341" s="209"/>
      <c r="P341" s="308"/>
      <c r="Q341" s="308"/>
      <c r="R341" s="308"/>
      <c r="S341" s="209"/>
      <c r="T341" s="209"/>
      <c r="U341" s="231"/>
      <c r="V341" s="231"/>
      <c r="W341" s="199"/>
      <c r="X341" s="199"/>
    </row>
    <row r="342" spans="1:24" s="58" customFormat="1" ht="17.25" customHeight="1" x14ac:dyDescent="0.4">
      <c r="A342" s="90" t="s">
        <v>195</v>
      </c>
      <c r="B342" s="5"/>
      <c r="C342" s="5"/>
      <c r="D342" s="5"/>
      <c r="E342" s="5"/>
      <c r="F342" s="5"/>
      <c r="G342" s="35"/>
      <c r="H342" s="103">
        <f>J339</f>
        <v>0.38489037742302951</v>
      </c>
      <c r="I342" s="4" t="s">
        <v>148</v>
      </c>
      <c r="J342" s="5"/>
      <c r="K342" s="5"/>
      <c r="L342" s="5"/>
      <c r="M342" s="5"/>
      <c r="N342" s="224"/>
      <c r="O342" s="224"/>
      <c r="P342" s="673"/>
      <c r="Q342" s="673"/>
      <c r="R342" s="673"/>
      <c r="S342" s="231"/>
      <c r="T342" s="231"/>
      <c r="U342" s="231"/>
      <c r="V342" s="231"/>
      <c r="W342" s="199"/>
      <c r="X342" s="199"/>
    </row>
    <row r="343" spans="1:24" ht="15.6" hidden="1" customHeight="1" x14ac:dyDescent="0.3">
      <c r="A343" s="90" t="s">
        <v>344</v>
      </c>
      <c r="B343" s="45"/>
      <c r="C343" s="45"/>
      <c r="D343" s="45"/>
      <c r="E343" s="45"/>
      <c r="F343" s="45"/>
      <c r="H343" s="35">
        <f>F323</f>
        <v>0</v>
      </c>
      <c r="I343" s="333" t="s">
        <v>283</v>
      </c>
      <c r="K343" s="91"/>
      <c r="L343" s="76"/>
      <c r="M343" s="76"/>
    </row>
    <row r="344" spans="1:24" ht="15.6" hidden="1" customHeight="1" x14ac:dyDescent="0.3">
      <c r="A344" s="90" t="s">
        <v>343</v>
      </c>
      <c r="B344" s="45"/>
      <c r="C344" s="45"/>
      <c r="D344" s="45"/>
      <c r="E344" s="45"/>
      <c r="F344" s="45"/>
      <c r="H344" s="35">
        <v>0</v>
      </c>
      <c r="I344" s="333" t="s">
        <v>283</v>
      </c>
      <c r="K344" s="91"/>
      <c r="L344" s="76"/>
      <c r="M344" s="76"/>
    </row>
    <row r="345" spans="1:24" s="58" customFormat="1" ht="16.5" customHeight="1" x14ac:dyDescent="0.4">
      <c r="A345" s="583" t="s">
        <v>196</v>
      </c>
      <c r="B345" s="583"/>
      <c r="C345" s="583"/>
      <c r="D345" s="583"/>
      <c r="E345" s="583"/>
      <c r="F345" s="583"/>
      <c r="G345" s="5"/>
      <c r="H345" s="332">
        <f>H341+H342</f>
        <v>100.38489037742303</v>
      </c>
      <c r="I345" s="4" t="s">
        <v>148</v>
      </c>
      <c r="J345" s="45"/>
      <c r="K345" s="76"/>
      <c r="L345" s="76"/>
      <c r="M345" s="76"/>
      <c r="N345" s="224"/>
      <c r="R345" s="231"/>
      <c r="S345" s="231"/>
      <c r="T345" s="231"/>
      <c r="U345" s="231"/>
      <c r="V345" s="231"/>
      <c r="W345" s="199"/>
      <c r="X345" s="199"/>
    </row>
    <row r="346" spans="1:24" ht="15.75" customHeight="1" x14ac:dyDescent="0.3">
      <c r="A346" s="576" t="s">
        <v>345</v>
      </c>
      <c r="B346" s="576"/>
      <c r="C346" s="576"/>
      <c r="D346" s="576"/>
      <c r="E346" s="576"/>
      <c r="F346" s="576"/>
      <c r="H346" s="332">
        <f>D339</f>
        <v>15</v>
      </c>
      <c r="I346" s="4" t="s">
        <v>159</v>
      </c>
      <c r="J346" s="45"/>
      <c r="K346" s="76"/>
      <c r="L346" s="76"/>
      <c r="M346" s="76"/>
    </row>
    <row r="347" spans="1:24" ht="15.75" customHeight="1" x14ac:dyDescent="0.3">
      <c r="A347"/>
      <c r="C347" s="45"/>
      <c r="D347" s="45"/>
      <c r="E347" s="45"/>
      <c r="F347" s="45"/>
      <c r="G347"/>
      <c r="H347" s="45"/>
      <c r="I347" s="45"/>
      <c r="J347" s="45"/>
      <c r="K347" s="76"/>
      <c r="L347" s="76"/>
      <c r="M347" s="76"/>
      <c r="O347" s="672" t="s">
        <v>561</v>
      </c>
      <c r="P347" s="672"/>
      <c r="Q347" s="672"/>
    </row>
    <row r="348" spans="1:24" ht="15.75" customHeight="1" x14ac:dyDescent="0.3">
      <c r="A348" s="17" t="s">
        <v>197</v>
      </c>
      <c r="B348" s="3"/>
      <c r="C348" s="3"/>
      <c r="D348" s="3"/>
      <c r="E348" s="3"/>
      <c r="F348" s="4"/>
      <c r="G348" s="4"/>
      <c r="O348" s="672"/>
      <c r="P348" s="672"/>
      <c r="Q348" s="672"/>
    </row>
    <row r="349" spans="1:24" ht="15.75" customHeight="1" thickBot="1" x14ac:dyDescent="0.35">
      <c r="A349"/>
      <c r="B349" s="92"/>
      <c r="C349"/>
      <c r="D349"/>
      <c r="E349"/>
      <c r="F349"/>
      <c r="G349"/>
      <c r="H349"/>
      <c r="I349"/>
      <c r="J349"/>
      <c r="K349" s="76"/>
      <c r="L349" s="76"/>
      <c r="M349" s="76"/>
    </row>
    <row r="350" spans="1:24" ht="15.75" customHeight="1" thickTop="1" thickBot="1" x14ac:dyDescent="0.35">
      <c r="A350"/>
      <c r="B350" s="571" t="s">
        <v>161</v>
      </c>
      <c r="C350" s="572"/>
      <c r="D350" s="572"/>
      <c r="E350" s="572"/>
      <c r="F350" s="572"/>
      <c r="G350" s="572"/>
      <c r="H350" s="572"/>
      <c r="I350" s="572"/>
      <c r="J350" s="572"/>
      <c r="K350" s="573"/>
      <c r="L350" s="76"/>
      <c r="M350" s="76"/>
    </row>
    <row r="351" spans="1:24" ht="15.6" customHeight="1" thickTop="1" thickBot="1" x14ac:dyDescent="0.35">
      <c r="A351"/>
      <c r="B351" s="92" t="s">
        <v>162</v>
      </c>
      <c r="C351"/>
      <c r="D351"/>
      <c r="E351"/>
      <c r="F351"/>
      <c r="G351"/>
      <c r="H351"/>
      <c r="I351"/>
      <c r="J351"/>
      <c r="K351" s="76"/>
      <c r="L351" s="76"/>
      <c r="M351" s="76"/>
    </row>
    <row r="352" spans="1:24" ht="15.75" customHeight="1" thickTop="1" thickBot="1" x14ac:dyDescent="0.35">
      <c r="A352"/>
      <c r="B352" s="568" t="s">
        <v>163</v>
      </c>
      <c r="C352" s="569"/>
      <c r="D352" s="569"/>
      <c r="E352" s="569"/>
      <c r="F352" s="569"/>
      <c r="G352" s="569"/>
      <c r="H352" s="569"/>
      <c r="I352" s="569"/>
      <c r="J352" s="569"/>
      <c r="K352" s="570"/>
      <c r="L352" s="76"/>
      <c r="M352" s="76"/>
    </row>
    <row r="353" spans="1:13" ht="15.75" customHeight="1" thickTop="1" thickBot="1" x14ac:dyDescent="0.35">
      <c r="A353"/>
      <c r="B353"/>
      <c r="C353"/>
      <c r="D353"/>
      <c r="E353"/>
      <c r="F353"/>
      <c r="G353"/>
      <c r="H353"/>
      <c r="I353"/>
      <c r="J353"/>
      <c r="K353" s="76"/>
      <c r="L353" s="76"/>
      <c r="M353" s="76"/>
    </row>
    <row r="354" spans="1:13" ht="15.75" customHeight="1" thickTop="1" thickBot="1" x14ac:dyDescent="0.35">
      <c r="B354" s="566" t="s">
        <v>164</v>
      </c>
      <c r="C354" s="567"/>
      <c r="E354" s="566" t="s">
        <v>165</v>
      </c>
      <c r="F354" s="567"/>
      <c r="G354" s="41"/>
      <c r="H354" s="152" t="s">
        <v>166</v>
      </c>
      <c r="J354" s="566" t="s">
        <v>167</v>
      </c>
      <c r="K354" s="567"/>
      <c r="M354" s="76"/>
    </row>
    <row r="355" spans="1:13" ht="15.75" customHeight="1" thickTop="1" thickBot="1" x14ac:dyDescent="0.35">
      <c r="B355" s="154">
        <f>H346</f>
        <v>15</v>
      </c>
      <c r="C355" s="152" t="s">
        <v>159</v>
      </c>
      <c r="E355" s="154">
        <f>+H345</f>
        <v>100.38489037742303</v>
      </c>
      <c r="F355" s="152" t="s">
        <v>148</v>
      </c>
      <c r="G355" s="41"/>
      <c r="H355" s="153">
        <v>0.65</v>
      </c>
      <c r="J355" s="151">
        <f>(9810*E355*B355/3600)/(H355*1000)</f>
        <v>6.3126652218110255</v>
      </c>
      <c r="K355" s="152" t="s">
        <v>168</v>
      </c>
      <c r="M355" s="76"/>
    </row>
    <row r="356" spans="1:13" ht="15.75" customHeight="1" thickTop="1" x14ac:dyDescent="0.3">
      <c r="A356"/>
      <c r="B356"/>
      <c r="C356"/>
      <c r="D356"/>
      <c r="E356"/>
      <c r="F356"/>
      <c r="G356"/>
      <c r="H356"/>
      <c r="I356"/>
      <c r="J356"/>
      <c r="K356" s="76"/>
      <c r="L356" s="76"/>
      <c r="M356" s="76"/>
    </row>
    <row r="357" spans="1:13" ht="15.75" customHeight="1" x14ac:dyDescent="0.3">
      <c r="A357" s="93" t="s">
        <v>169</v>
      </c>
      <c r="B357"/>
      <c r="C357"/>
      <c r="D357"/>
      <c r="E357"/>
      <c r="F357"/>
      <c r="G357"/>
      <c r="H357"/>
      <c r="I357"/>
      <c r="J357"/>
      <c r="K357" s="76"/>
      <c r="L357" s="76"/>
      <c r="M357" s="76"/>
    </row>
    <row r="358" spans="1:13" ht="15.75" customHeight="1" x14ac:dyDescent="0.3">
      <c r="A358" s="92"/>
      <c r="B358" s="90" t="s">
        <v>170</v>
      </c>
      <c r="C358" s="1" t="s">
        <v>171</v>
      </c>
      <c r="D358" s="1"/>
      <c r="E358" s="104"/>
      <c r="F358" s="104"/>
      <c r="G358"/>
      <c r="H358"/>
      <c r="I358"/>
      <c r="J358"/>
      <c r="K358" s="76"/>
      <c r="L358" s="76"/>
      <c r="M358" s="76"/>
    </row>
    <row r="359" spans="1:13" ht="15.75" customHeight="1" x14ac:dyDescent="0.3">
      <c r="A359" s="92"/>
      <c r="B359" s="90" t="s">
        <v>172</v>
      </c>
      <c r="C359" s="1" t="s">
        <v>173</v>
      </c>
      <c r="D359" s="1"/>
      <c r="E359" s="104"/>
      <c r="F359" s="104"/>
      <c r="G359"/>
      <c r="H359"/>
      <c r="I359"/>
      <c r="J359"/>
      <c r="K359" s="76"/>
      <c r="L359" s="76"/>
      <c r="M359" s="76"/>
    </row>
    <row r="360" spans="1:13" ht="15.75" customHeight="1" x14ac:dyDescent="0.3">
      <c r="A360" s="92"/>
      <c r="B360" s="90" t="s">
        <v>174</v>
      </c>
      <c r="C360" s="1" t="s">
        <v>175</v>
      </c>
      <c r="D360" s="1"/>
      <c r="E360" s="104"/>
      <c r="F360" s="104"/>
      <c r="G360"/>
      <c r="H360"/>
      <c r="I360"/>
      <c r="J360"/>
      <c r="K360" s="76"/>
      <c r="L360" s="76"/>
      <c r="M360" s="76"/>
    </row>
    <row r="361" spans="1:13" ht="15.75" customHeight="1" x14ac:dyDescent="0.3">
      <c r="A361" s="92"/>
      <c r="B361" s="90" t="s">
        <v>176</v>
      </c>
      <c r="C361" s="1" t="s">
        <v>177</v>
      </c>
      <c r="D361" s="1"/>
      <c r="E361" s="104"/>
      <c r="F361" s="104"/>
      <c r="G361"/>
      <c r="H361"/>
      <c r="I361"/>
      <c r="J361"/>
      <c r="K361" s="76"/>
      <c r="L361" s="76"/>
      <c r="M361" s="76"/>
    </row>
    <row r="362" spans="1:13" ht="15.75" customHeight="1" x14ac:dyDescent="0.3">
      <c r="A362" s="92"/>
      <c r="B362" s="90" t="s">
        <v>178</v>
      </c>
      <c r="C362" s="1" t="s">
        <v>179</v>
      </c>
      <c r="D362" s="1"/>
      <c r="E362" s="104"/>
      <c r="F362" s="104"/>
      <c r="G362"/>
      <c r="H362"/>
      <c r="I362"/>
      <c r="J362"/>
      <c r="K362" s="76"/>
      <c r="L362" s="76"/>
      <c r="M362" s="76"/>
    </row>
    <row r="363" spans="1:13" ht="15.75" customHeight="1" x14ac:dyDescent="0.3">
      <c r="A363" s="92"/>
      <c r="B363"/>
      <c r="C363" s="104"/>
      <c r="D363" s="104"/>
      <c r="E363" s="104"/>
      <c r="F363" s="104"/>
      <c r="G363"/>
      <c r="H363"/>
      <c r="I363"/>
      <c r="J363"/>
      <c r="K363" s="76"/>
      <c r="L363" s="76"/>
      <c r="M363" s="76"/>
    </row>
    <row r="364" spans="1:13" ht="15.75" customHeight="1" x14ac:dyDescent="0.3">
      <c r="A364" s="17" t="s">
        <v>198</v>
      </c>
      <c r="B364" s="3"/>
      <c r="C364" s="3"/>
      <c r="D364" s="3"/>
      <c r="E364" s="3"/>
      <c r="F364" s="4"/>
      <c r="G364" s="4"/>
    </row>
    <row r="365" spans="1:13" ht="15.75" customHeight="1" thickBot="1" x14ac:dyDescent="0.35">
      <c r="A365"/>
      <c r="B365"/>
      <c r="C365"/>
      <c r="D365"/>
      <c r="E365"/>
      <c r="F365"/>
      <c r="G365"/>
      <c r="H365"/>
      <c r="I365"/>
      <c r="J365"/>
      <c r="K365" s="76"/>
      <c r="L365" s="76"/>
      <c r="M365" s="76"/>
    </row>
    <row r="366" spans="1:13" ht="15.75" customHeight="1" thickTop="1" thickBot="1" x14ac:dyDescent="0.35">
      <c r="A366"/>
      <c r="C366" s="612" t="s">
        <v>181</v>
      </c>
      <c r="D366" s="613"/>
      <c r="E366" s="613"/>
      <c r="F366" s="613"/>
      <c r="G366" s="613"/>
      <c r="H366" s="613"/>
      <c r="I366" s="613"/>
      <c r="J366" s="614"/>
      <c r="K366"/>
      <c r="L366" s="76"/>
      <c r="M366" s="76"/>
    </row>
    <row r="367" spans="1:13" ht="15.6" customHeight="1" thickTop="1" thickBot="1" x14ac:dyDescent="0.35">
      <c r="A367"/>
      <c r="B367"/>
      <c r="C367"/>
      <c r="D367"/>
      <c r="E367"/>
      <c r="F367"/>
      <c r="G367"/>
      <c r="H367"/>
      <c r="I367"/>
      <c r="J367"/>
      <c r="K367" s="76"/>
      <c r="L367" s="76"/>
      <c r="M367" s="76"/>
    </row>
    <row r="368" spans="1:13" ht="15.75" customHeight="1" thickTop="1" thickBot="1" x14ac:dyDescent="0.35">
      <c r="B368" s="566" t="s">
        <v>167</v>
      </c>
      <c r="C368" s="567"/>
      <c r="D368" s="156"/>
      <c r="E368" s="566" t="s">
        <v>182</v>
      </c>
      <c r="F368" s="567"/>
      <c r="G368" s="157"/>
      <c r="H368" s="611" t="s">
        <v>183</v>
      </c>
      <c r="I368" s="611"/>
      <c r="J368" s="611"/>
      <c r="K368" s="567"/>
    </row>
    <row r="369" spans="1:24" ht="15.75" customHeight="1" thickTop="1" thickBot="1" x14ac:dyDescent="0.35">
      <c r="B369" s="154">
        <f>+J355</f>
        <v>6.3126652218110255</v>
      </c>
      <c r="C369" s="152" t="s">
        <v>168</v>
      </c>
      <c r="D369" s="156"/>
      <c r="E369" s="595">
        <v>0.9</v>
      </c>
      <c r="F369" s="596"/>
      <c r="G369" s="156"/>
      <c r="H369" s="601">
        <f>B369/E369</f>
        <v>7.0140724686789166</v>
      </c>
      <c r="I369" s="602"/>
      <c r="J369" s="579">
        <f>H369*1.36</f>
        <v>9.5391385574033265</v>
      </c>
      <c r="K369" s="580"/>
    </row>
    <row r="370" spans="1:24" ht="15.75" customHeight="1" thickTop="1" x14ac:dyDescent="0.3">
      <c r="A370"/>
      <c r="B370"/>
      <c r="C370"/>
      <c r="D370"/>
      <c r="E370"/>
      <c r="F370"/>
      <c r="G370"/>
      <c r="H370"/>
      <c r="I370"/>
      <c r="J370"/>
      <c r="K370" s="76"/>
      <c r="L370" s="76"/>
      <c r="M370" s="76"/>
    </row>
    <row r="371" spans="1:24" ht="15.75" customHeight="1" x14ac:dyDescent="0.3">
      <c r="B371" s="148"/>
      <c r="C371" s="148"/>
      <c r="D371" s="575" t="s">
        <v>347</v>
      </c>
      <c r="E371" s="575"/>
      <c r="F371" s="575"/>
      <c r="G371" s="575"/>
      <c r="H371" s="575"/>
      <c r="I371" s="149">
        <f>IF(J369&lt;=1,1,IF(J369&lt;=1.5,1.5,IF(J369&lt;=2,2,IF(J369&lt;=3,3,IF(J369&lt;=4,4,IF(J369&lt;=5.5,5.5,IF(J369&lt;=7.5,7.5,IF(J369&lt;=10,10,IF(J369&lt;=12.5,12.5,IF(J369&lt;=15,15,IF(J369&lt;=17.5,17.5,IF(J369&lt;=20,20,IF(J369&lt;=22.5,25,25)))))))))))))</f>
        <v>10</v>
      </c>
      <c r="J371" s="149" t="s">
        <v>346</v>
      </c>
      <c r="K371" s="148"/>
      <c r="L371" s="148"/>
      <c r="M371" s="148"/>
      <c r="O371" s="200"/>
    </row>
    <row r="372" spans="1:24" ht="15.75" customHeight="1" x14ac:dyDescent="0.3">
      <c r="B372" s="148"/>
      <c r="C372" s="148"/>
      <c r="D372" s="303"/>
      <c r="E372" s="303"/>
      <c r="F372" s="303"/>
      <c r="G372" s="303"/>
      <c r="H372" s="303"/>
      <c r="I372" s="149"/>
      <c r="J372" s="149"/>
      <c r="K372" s="148"/>
      <c r="L372" s="148"/>
      <c r="M372" s="148"/>
      <c r="O372" s="200"/>
    </row>
    <row r="373" spans="1:24" ht="15.75" hidden="1" customHeight="1" thickBot="1" x14ac:dyDescent="0.35">
      <c r="A373" s="11" t="s">
        <v>184</v>
      </c>
      <c r="B373" s="3"/>
      <c r="C373" s="3"/>
      <c r="E373" s="22" t="str">
        <f>UPPER(G117)</f>
        <v>FORAGE 2</v>
      </c>
      <c r="F373" s="4"/>
      <c r="G373" s="4"/>
      <c r="O373" s="200"/>
    </row>
    <row r="374" spans="1:24" ht="15.75" hidden="1" customHeight="1" thickTop="1" thickBot="1" x14ac:dyDescent="0.35">
      <c r="A374" s="578" t="s">
        <v>185</v>
      </c>
      <c r="B374" s="578"/>
      <c r="C374" s="250" t="s">
        <v>186</v>
      </c>
      <c r="D374" s="584" t="s">
        <v>187</v>
      </c>
      <c r="E374" s="584"/>
      <c r="F374" s="584" t="s">
        <v>188</v>
      </c>
      <c r="G374" s="584"/>
      <c r="H374" s="584" t="s">
        <v>97</v>
      </c>
      <c r="I374" s="584"/>
      <c r="J374" s="584" t="s">
        <v>189</v>
      </c>
      <c r="K374" s="584"/>
      <c r="L374" s="584" t="s">
        <v>190</v>
      </c>
      <c r="M374" s="584"/>
      <c r="O374" s="200"/>
    </row>
    <row r="375" spans="1:24" ht="15.6" hidden="1" customHeight="1" thickTop="1" thickBot="1" x14ac:dyDescent="0.35">
      <c r="A375" s="578"/>
      <c r="B375" s="578"/>
      <c r="C375" s="249" t="s">
        <v>103</v>
      </c>
      <c r="D375" s="564" t="s">
        <v>191</v>
      </c>
      <c r="E375" s="564"/>
      <c r="F375" s="564" t="s">
        <v>192</v>
      </c>
      <c r="G375" s="564"/>
      <c r="H375" s="564" t="s">
        <v>103</v>
      </c>
      <c r="I375" s="564"/>
      <c r="J375" s="564" t="s">
        <v>69</v>
      </c>
      <c r="K375" s="564"/>
      <c r="L375" s="564" t="s">
        <v>104</v>
      </c>
      <c r="M375" s="564"/>
      <c r="O375" s="200"/>
    </row>
    <row r="376" spans="1:24" ht="20.25" hidden="1" customHeight="1" thickTop="1" thickBot="1" x14ac:dyDescent="0.35">
      <c r="A376" s="97" t="str">
        <f>E373</f>
        <v>FORAGE 2</v>
      </c>
      <c r="B376" s="98" t="s">
        <v>193</v>
      </c>
      <c r="C376" s="238">
        <v>18</v>
      </c>
      <c r="D376" s="582">
        <v>18</v>
      </c>
      <c r="E376" s="582"/>
      <c r="F376" s="243">
        <v>75</v>
      </c>
      <c r="G376" s="244">
        <f>+VLOOKUP(F376,'Diamétre Interieur'!$A$3:$C$17,3,0)</f>
        <v>69.339999999999989</v>
      </c>
      <c r="H376" s="581">
        <v>0</v>
      </c>
      <c r="I376" s="581"/>
      <c r="J376" s="577">
        <f>(1.1*0.478*((D376*1000)^1.75*(G376)^(-4.75)*C376))+H376</f>
        <v>0.47659199501935745</v>
      </c>
      <c r="K376" s="577"/>
      <c r="L376" s="577">
        <f>4*D376/(3600*PI()*((G376*0.001)^2))</f>
        <v>1.324074581243911</v>
      </c>
      <c r="M376" s="577"/>
      <c r="O376" s="200"/>
    </row>
    <row r="377" spans="1:24" s="58" customFormat="1" ht="16.5" hidden="1" customHeight="1" thickTop="1" x14ac:dyDescent="0.3">
      <c r="A377" s="99"/>
      <c r="B377" s="27"/>
      <c r="C377" s="38"/>
      <c r="D377" s="33"/>
      <c r="E377" s="33"/>
      <c r="F377" s="100"/>
      <c r="G377" s="101"/>
      <c r="H377" s="102"/>
      <c r="I377" s="102"/>
      <c r="J377" s="102"/>
      <c r="K377" s="102"/>
      <c r="L377" s="102"/>
      <c r="M377" s="102"/>
      <c r="N377" s="231"/>
      <c r="O377" s="200"/>
      <c r="P377" s="196"/>
      <c r="Q377" s="196"/>
      <c r="R377" s="196"/>
      <c r="S377" s="209"/>
      <c r="T377" s="209"/>
      <c r="U377" s="231"/>
      <c r="V377" s="231"/>
      <c r="W377" s="199"/>
      <c r="X377" s="199"/>
    </row>
    <row r="378" spans="1:24" s="58" customFormat="1" ht="16.5" hidden="1" customHeight="1" x14ac:dyDescent="0.3">
      <c r="A378" s="90" t="s">
        <v>194</v>
      </c>
      <c r="B378" s="45"/>
      <c r="C378" s="5"/>
      <c r="D378" s="91"/>
      <c r="E378" s="91"/>
      <c r="F378" s="5"/>
      <c r="G378" s="45"/>
      <c r="H378" s="239">
        <v>90</v>
      </c>
      <c r="I378" s="3" t="s">
        <v>35</v>
      </c>
      <c r="J378" s="5"/>
      <c r="K378" s="76"/>
      <c r="L378" s="76"/>
      <c r="M378" s="76"/>
      <c r="N378" s="231"/>
      <c r="O378" s="200"/>
      <c r="P378" s="196"/>
      <c r="Q378" s="196"/>
      <c r="R378" s="196"/>
      <c r="S378" s="209"/>
      <c r="T378" s="209"/>
      <c r="U378" s="231"/>
      <c r="V378" s="231"/>
      <c r="W378" s="199"/>
      <c r="X378" s="199"/>
    </row>
    <row r="379" spans="1:24" s="58" customFormat="1" ht="17.25" hidden="1" customHeight="1" x14ac:dyDescent="0.4">
      <c r="A379" s="90" t="s">
        <v>195</v>
      </c>
      <c r="B379" s="5"/>
      <c r="C379" s="5"/>
      <c r="D379" s="5"/>
      <c r="E379" s="5"/>
      <c r="F379" s="5"/>
      <c r="G379" s="35"/>
      <c r="H379" s="103">
        <f>J376</f>
        <v>0.47659199501935745</v>
      </c>
      <c r="I379" s="5" t="s">
        <v>148</v>
      </c>
      <c r="J379" s="5"/>
      <c r="K379" s="5"/>
      <c r="L379" s="5"/>
      <c r="M379" s="5"/>
      <c r="N379" s="224"/>
      <c r="O379" s="200"/>
      <c r="P379" s="196"/>
      <c r="Q379" s="196"/>
      <c r="R379" s="196"/>
      <c r="S379" s="231"/>
      <c r="T379" s="231"/>
      <c r="U379" s="231"/>
      <c r="V379" s="231"/>
      <c r="W379" s="199"/>
      <c r="X379" s="199"/>
    </row>
    <row r="380" spans="1:24" s="58" customFormat="1" ht="16.5" hidden="1" customHeight="1" x14ac:dyDescent="0.4">
      <c r="A380" s="583" t="s">
        <v>196</v>
      </c>
      <c r="B380" s="583"/>
      <c r="C380" s="583"/>
      <c r="D380" s="583"/>
      <c r="E380" s="583"/>
      <c r="F380" s="583"/>
      <c r="G380" s="5"/>
      <c r="H380" s="242">
        <f>H378+H379</f>
        <v>90.476591995019362</v>
      </c>
      <c r="I380" s="3" t="s">
        <v>148</v>
      </c>
      <c r="J380" s="45"/>
      <c r="K380" s="76"/>
      <c r="L380" s="76"/>
      <c r="M380" s="76"/>
      <c r="N380" s="224"/>
      <c r="O380" s="200"/>
      <c r="P380" s="196"/>
      <c r="Q380" s="196"/>
      <c r="R380" s="196"/>
      <c r="S380" s="231"/>
      <c r="T380" s="231"/>
      <c r="U380" s="231"/>
      <c r="V380" s="231"/>
      <c r="W380" s="199"/>
      <c r="X380" s="199"/>
    </row>
    <row r="381" spans="1:24" ht="15.75" hidden="1" customHeight="1" x14ac:dyDescent="0.3">
      <c r="A381" s="576" t="s">
        <v>345</v>
      </c>
      <c r="B381" s="576"/>
      <c r="C381" s="576"/>
      <c r="D381" s="576"/>
      <c r="E381" s="576"/>
      <c r="F381" s="576"/>
      <c r="H381" s="242">
        <f>+D376</f>
        <v>18</v>
      </c>
      <c r="I381" s="3" t="s">
        <v>159</v>
      </c>
      <c r="J381" s="45"/>
      <c r="K381" s="76"/>
      <c r="L381" s="76"/>
      <c r="M381" s="76"/>
      <c r="O381" s="200"/>
    </row>
    <row r="382" spans="1:24" hidden="1" x14ac:dyDescent="0.3">
      <c r="A382"/>
      <c r="C382" s="45"/>
      <c r="D382" s="45"/>
      <c r="E382" s="45"/>
      <c r="F382" s="45"/>
      <c r="G382"/>
      <c r="H382" s="45"/>
      <c r="I382" s="45"/>
      <c r="J382" s="45"/>
      <c r="K382" s="76"/>
      <c r="L382" s="76"/>
      <c r="M382" s="76"/>
    </row>
    <row r="383" spans="1:24" ht="15.75" hidden="1" customHeight="1" x14ac:dyDescent="0.3">
      <c r="A383" s="17" t="s">
        <v>197</v>
      </c>
      <c r="B383" s="3"/>
      <c r="C383" s="3"/>
      <c r="D383" s="3"/>
      <c r="E383" s="3"/>
      <c r="F383" s="4"/>
      <c r="G383" s="4"/>
    </row>
    <row r="384" spans="1:24" ht="15.75" hidden="1" customHeight="1" thickBot="1" x14ac:dyDescent="0.35">
      <c r="A384"/>
      <c r="B384" s="92"/>
      <c r="C384"/>
      <c r="D384"/>
      <c r="E384"/>
      <c r="F384"/>
      <c r="G384"/>
      <c r="H384"/>
      <c r="I384"/>
      <c r="J384"/>
      <c r="K384" s="76"/>
      <c r="L384" s="76"/>
      <c r="M384" s="76"/>
    </row>
    <row r="385" spans="1:13" ht="15.75" hidden="1" customHeight="1" thickTop="1" thickBot="1" x14ac:dyDescent="0.35">
      <c r="A385"/>
      <c r="B385" s="571" t="s">
        <v>161</v>
      </c>
      <c r="C385" s="572"/>
      <c r="D385" s="572"/>
      <c r="E385" s="572"/>
      <c r="F385" s="572"/>
      <c r="G385" s="572"/>
      <c r="H385" s="572"/>
      <c r="I385" s="572"/>
      <c r="J385" s="572"/>
      <c r="K385" s="573"/>
      <c r="L385" s="76"/>
      <c r="M385" s="76"/>
    </row>
    <row r="386" spans="1:13" ht="15.6" hidden="1" customHeight="1" thickTop="1" thickBot="1" x14ac:dyDescent="0.35">
      <c r="A386"/>
      <c r="B386" s="92" t="s">
        <v>162</v>
      </c>
      <c r="C386"/>
      <c r="D386"/>
      <c r="E386"/>
      <c r="F386"/>
      <c r="G386"/>
      <c r="H386"/>
      <c r="I386"/>
      <c r="J386"/>
      <c r="K386" s="76"/>
      <c r="L386" s="76"/>
      <c r="M386" s="76"/>
    </row>
    <row r="387" spans="1:13" ht="15.75" hidden="1" customHeight="1" thickTop="1" thickBot="1" x14ac:dyDescent="0.35">
      <c r="A387"/>
      <c r="B387" s="568" t="s">
        <v>163</v>
      </c>
      <c r="C387" s="569"/>
      <c r="D387" s="569"/>
      <c r="E387" s="569"/>
      <c r="F387" s="569"/>
      <c r="G387" s="569"/>
      <c r="H387" s="569"/>
      <c r="I387" s="569"/>
      <c r="J387" s="569"/>
      <c r="K387" s="570"/>
      <c r="L387" s="76"/>
      <c r="M387" s="76"/>
    </row>
    <row r="388" spans="1:13" ht="15.75" hidden="1" customHeight="1" thickTop="1" thickBot="1" x14ac:dyDescent="0.35">
      <c r="A388"/>
      <c r="B388"/>
      <c r="C388"/>
      <c r="D388"/>
      <c r="E388"/>
      <c r="F388"/>
      <c r="G388"/>
      <c r="H388"/>
      <c r="I388"/>
      <c r="J388"/>
      <c r="K388" s="76"/>
      <c r="L388" s="76"/>
      <c r="M388" s="76"/>
    </row>
    <row r="389" spans="1:13" ht="15.75" hidden="1" customHeight="1" thickTop="1" thickBot="1" x14ac:dyDescent="0.35">
      <c r="B389" s="566" t="s">
        <v>164</v>
      </c>
      <c r="C389" s="567"/>
      <c r="E389" s="566" t="s">
        <v>165</v>
      </c>
      <c r="F389" s="567"/>
      <c r="G389" s="41"/>
      <c r="H389" s="152" t="s">
        <v>166</v>
      </c>
      <c r="J389" s="566" t="s">
        <v>167</v>
      </c>
      <c r="K389" s="567"/>
      <c r="M389" s="76"/>
    </row>
    <row r="390" spans="1:13" ht="15.75" hidden="1" customHeight="1" thickTop="1" thickBot="1" x14ac:dyDescent="0.35">
      <c r="B390" s="155">
        <f>H381</f>
        <v>18</v>
      </c>
      <c r="C390" s="152" t="s">
        <v>159</v>
      </c>
      <c r="E390" s="154">
        <f>+H380</f>
        <v>90.476591995019362</v>
      </c>
      <c r="F390" s="152" t="s">
        <v>148</v>
      </c>
      <c r="G390" s="41"/>
      <c r="H390" s="153">
        <v>0.65</v>
      </c>
      <c r="J390" s="151">
        <f>(9810*E390*B390/3600)/(H390*1000)</f>
        <v>6.8275028267010764</v>
      </c>
      <c r="K390" s="152" t="s">
        <v>168</v>
      </c>
      <c r="M390" s="76"/>
    </row>
    <row r="391" spans="1:13" ht="15.75" hidden="1" customHeight="1" thickTop="1" x14ac:dyDescent="0.3">
      <c r="A391"/>
      <c r="B391"/>
      <c r="C391"/>
      <c r="D391"/>
      <c r="E391"/>
      <c r="F391"/>
      <c r="G391"/>
      <c r="H391"/>
      <c r="I391"/>
      <c r="J391"/>
      <c r="K391" s="76"/>
      <c r="L391" s="76"/>
      <c r="M391" s="76"/>
    </row>
    <row r="392" spans="1:13" ht="15.75" hidden="1" customHeight="1" x14ac:dyDescent="0.3">
      <c r="A392" s="93" t="s">
        <v>169</v>
      </c>
      <c r="B392"/>
      <c r="C392"/>
      <c r="D392"/>
      <c r="E392"/>
      <c r="F392"/>
      <c r="G392"/>
      <c r="H392"/>
      <c r="I392"/>
      <c r="J392"/>
      <c r="K392" s="76"/>
      <c r="L392" s="76"/>
      <c r="M392" s="76"/>
    </row>
    <row r="393" spans="1:13" ht="15.75" hidden="1" customHeight="1" x14ac:dyDescent="0.3">
      <c r="A393" s="92"/>
      <c r="B393" s="90" t="s">
        <v>170</v>
      </c>
      <c r="C393" s="1" t="s">
        <v>171</v>
      </c>
      <c r="D393" s="1"/>
      <c r="E393" s="104"/>
      <c r="F393" s="104"/>
      <c r="G393"/>
      <c r="H393"/>
      <c r="I393"/>
      <c r="J393"/>
      <c r="K393" s="76"/>
      <c r="L393" s="76"/>
      <c r="M393" s="76"/>
    </row>
    <row r="394" spans="1:13" ht="15.75" hidden="1" customHeight="1" x14ac:dyDescent="0.3">
      <c r="A394" s="92"/>
      <c r="B394" s="90" t="s">
        <v>172</v>
      </c>
      <c r="C394" s="1" t="s">
        <v>173</v>
      </c>
      <c r="D394" s="1"/>
      <c r="E394" s="104"/>
      <c r="F394" s="104"/>
      <c r="G394"/>
      <c r="H394"/>
      <c r="I394"/>
      <c r="J394"/>
      <c r="K394" s="76"/>
      <c r="L394" s="76"/>
      <c r="M394" s="76"/>
    </row>
    <row r="395" spans="1:13" ht="15.75" hidden="1" customHeight="1" x14ac:dyDescent="0.3">
      <c r="A395" s="92"/>
      <c r="B395" s="90" t="s">
        <v>174</v>
      </c>
      <c r="C395" s="1" t="s">
        <v>175</v>
      </c>
      <c r="D395" s="1"/>
      <c r="E395" s="104"/>
      <c r="F395" s="104"/>
      <c r="G395"/>
      <c r="H395"/>
      <c r="I395"/>
      <c r="J395"/>
      <c r="K395" s="76"/>
      <c r="L395" s="76"/>
      <c r="M395" s="76"/>
    </row>
    <row r="396" spans="1:13" ht="15.75" hidden="1" customHeight="1" x14ac:dyDescent="0.3">
      <c r="A396" s="92"/>
      <c r="B396" s="90" t="s">
        <v>176</v>
      </c>
      <c r="C396" s="1" t="s">
        <v>177</v>
      </c>
      <c r="D396" s="1"/>
      <c r="E396" s="104"/>
      <c r="F396" s="104"/>
      <c r="G396"/>
      <c r="H396"/>
      <c r="I396"/>
      <c r="J396"/>
      <c r="K396" s="76"/>
      <c r="L396" s="76"/>
      <c r="M396" s="76"/>
    </row>
    <row r="397" spans="1:13" ht="15.75" hidden="1" customHeight="1" x14ac:dyDescent="0.3">
      <c r="A397" s="92"/>
      <c r="B397" s="90" t="s">
        <v>178</v>
      </c>
      <c r="C397" s="1" t="s">
        <v>179</v>
      </c>
      <c r="D397" s="1"/>
      <c r="E397" s="104"/>
      <c r="F397" s="104"/>
      <c r="G397"/>
      <c r="H397"/>
      <c r="I397"/>
      <c r="J397"/>
      <c r="K397" s="76"/>
      <c r="L397" s="76"/>
      <c r="M397" s="76"/>
    </row>
    <row r="398" spans="1:13" ht="15.75" hidden="1" customHeight="1" x14ac:dyDescent="0.3">
      <c r="A398" s="92"/>
      <c r="B398"/>
      <c r="C398" s="104"/>
      <c r="D398" s="104"/>
      <c r="E398" s="104"/>
      <c r="F398" s="104"/>
      <c r="G398"/>
      <c r="H398"/>
      <c r="I398"/>
      <c r="J398"/>
      <c r="K398" s="76"/>
      <c r="L398" s="76"/>
      <c r="M398" s="76"/>
    </row>
    <row r="399" spans="1:13" ht="15.75" hidden="1" customHeight="1" x14ac:dyDescent="0.3">
      <c r="A399" s="17" t="s">
        <v>198</v>
      </c>
      <c r="B399" s="3"/>
      <c r="C399" s="3"/>
      <c r="D399" s="3"/>
      <c r="E399" s="3"/>
      <c r="F399" s="4"/>
      <c r="G399" s="4"/>
    </row>
    <row r="400" spans="1:13" ht="15.75" hidden="1" customHeight="1" thickBot="1" x14ac:dyDescent="0.35">
      <c r="A400"/>
      <c r="B400"/>
      <c r="C400"/>
      <c r="D400"/>
      <c r="E400"/>
      <c r="F400"/>
      <c r="G400"/>
      <c r="H400"/>
      <c r="I400"/>
      <c r="J400"/>
      <c r="K400" s="76"/>
      <c r="L400" s="76"/>
      <c r="M400" s="76"/>
    </row>
    <row r="401" spans="1:24" ht="15.75" hidden="1" customHeight="1" thickTop="1" thickBot="1" x14ac:dyDescent="0.35">
      <c r="A401"/>
      <c r="C401" s="612" t="s">
        <v>181</v>
      </c>
      <c r="D401" s="613"/>
      <c r="E401" s="613"/>
      <c r="F401" s="613"/>
      <c r="G401" s="613"/>
      <c r="H401" s="613"/>
      <c r="I401" s="613"/>
      <c r="J401" s="614"/>
      <c r="K401"/>
      <c r="L401" s="76"/>
      <c r="M401" s="76"/>
    </row>
    <row r="402" spans="1:24" ht="15.6" hidden="1" customHeight="1" thickTop="1" thickBot="1" x14ac:dyDescent="0.35">
      <c r="A402"/>
      <c r="B402"/>
      <c r="C402"/>
      <c r="D402"/>
      <c r="E402"/>
      <c r="F402"/>
      <c r="G402"/>
      <c r="H402"/>
      <c r="I402"/>
      <c r="J402"/>
      <c r="K402" s="76"/>
      <c r="L402" s="76"/>
      <c r="M402" s="76"/>
    </row>
    <row r="403" spans="1:24" ht="15.75" hidden="1" customHeight="1" thickTop="1" thickBot="1" x14ac:dyDescent="0.35">
      <c r="B403" s="566" t="s">
        <v>167</v>
      </c>
      <c r="C403" s="567"/>
      <c r="D403" s="156"/>
      <c r="E403" s="566" t="s">
        <v>182</v>
      </c>
      <c r="F403" s="567"/>
      <c r="G403" s="157"/>
      <c r="H403" s="611" t="s">
        <v>183</v>
      </c>
      <c r="I403" s="611"/>
      <c r="J403" s="611"/>
      <c r="K403" s="567"/>
    </row>
    <row r="404" spans="1:24" ht="15.75" hidden="1" customHeight="1" thickTop="1" thickBot="1" x14ac:dyDescent="0.35">
      <c r="B404" s="154">
        <f>+J390</f>
        <v>6.8275028267010764</v>
      </c>
      <c r="C404" s="152" t="s">
        <v>168</v>
      </c>
      <c r="D404" s="156"/>
      <c r="E404" s="595">
        <v>0.9</v>
      </c>
      <c r="F404" s="596"/>
      <c r="G404" s="156"/>
      <c r="H404" s="601">
        <f>B404/E404</f>
        <v>7.586114251890085</v>
      </c>
      <c r="I404" s="602"/>
      <c r="J404" s="579">
        <f>H404*1.36</f>
        <v>10.317115382570517</v>
      </c>
      <c r="K404" s="580"/>
    </row>
    <row r="405" spans="1:24" ht="15.75" hidden="1" customHeight="1" thickTop="1" x14ac:dyDescent="0.3">
      <c r="A405"/>
      <c r="B405"/>
      <c r="C405"/>
      <c r="D405"/>
      <c r="E405"/>
      <c r="F405"/>
      <c r="G405"/>
      <c r="H405"/>
      <c r="I405"/>
      <c r="J405"/>
      <c r="K405" s="76"/>
      <c r="L405" s="76"/>
      <c r="M405" s="76"/>
    </row>
    <row r="406" spans="1:24" ht="15.75" hidden="1" customHeight="1" x14ac:dyDescent="0.3">
      <c r="B406" s="148"/>
      <c r="C406" s="148"/>
      <c r="D406" s="575" t="s">
        <v>347</v>
      </c>
      <c r="E406" s="575"/>
      <c r="F406" s="575"/>
      <c r="G406" s="575"/>
      <c r="H406" s="575"/>
      <c r="I406" s="149">
        <f>IF(J404&lt;=1,1,IF(J404&lt;=1.5,1.5,IF(J404&lt;=2,2,IF(J404&lt;=3,3,IF(J404&lt;=4,4,IF(J404&lt;=5.5,5.5,IF(J404&lt;=7.5,7.5,IF(J404&lt;=10,10,IF(J404&lt;=12.5,12.5,IF(J404&lt;=15,15,IF(J404&lt;=17.5,17.5,IF(J404&lt;=20,20,22.5))))))))))))</f>
        <v>12.5</v>
      </c>
      <c r="J406" s="149" t="s">
        <v>346</v>
      </c>
      <c r="K406" s="148"/>
      <c r="L406" s="148"/>
      <c r="M406" s="148"/>
      <c r="O406" s="200"/>
    </row>
    <row r="407" spans="1:24" ht="15.75" hidden="1" customHeight="1" x14ac:dyDescent="0.3">
      <c r="B407" s="148"/>
      <c r="C407" s="148"/>
      <c r="D407" s="133"/>
      <c r="E407" s="133"/>
      <c r="F407" s="133"/>
      <c r="G407" s="133"/>
      <c r="H407" s="133"/>
      <c r="I407" s="149"/>
      <c r="J407" s="149"/>
      <c r="K407" s="148"/>
      <c r="L407" s="148"/>
      <c r="M407" s="148"/>
    </row>
    <row r="408" spans="1:24" ht="15.75" customHeight="1" x14ac:dyDescent="0.3">
      <c r="A408" s="474" t="s">
        <v>199</v>
      </c>
      <c r="B408" s="475"/>
      <c r="C408" s="235"/>
      <c r="D408" s="235"/>
      <c r="E408" s="476"/>
      <c r="F408" s="476"/>
      <c r="G408" s="476"/>
      <c r="H408" s="476"/>
      <c r="I408" s="476"/>
      <c r="J408" s="476"/>
      <c r="K408" s="476"/>
      <c r="L408" s="76"/>
      <c r="M408" s="76"/>
    </row>
    <row r="409" spans="1:24" ht="15.75" customHeight="1" x14ac:dyDescent="0.3">
      <c r="A409" s="474"/>
      <c r="B409" s="475"/>
      <c r="C409" s="477"/>
      <c r="D409" s="235"/>
      <c r="E409" s="476"/>
      <c r="F409" s="476"/>
      <c r="G409" s="476"/>
      <c r="H409" s="476"/>
      <c r="I409" s="476"/>
      <c r="J409" s="476"/>
      <c r="K409" s="476"/>
      <c r="L409" s="76"/>
      <c r="M409" s="76"/>
    </row>
    <row r="410" spans="1:24" ht="18" customHeight="1" x14ac:dyDescent="0.3">
      <c r="A410" s="478" t="s">
        <v>200</v>
      </c>
      <c r="B410" s="156"/>
      <c r="C410" s="479"/>
      <c r="D410" s="480"/>
      <c r="E410" s="156"/>
      <c r="F410" s="481">
        <f ca="1">+N182</f>
        <v>161.80500000000001</v>
      </c>
      <c r="G410" s="482" t="s">
        <v>201</v>
      </c>
      <c r="H410" s="476"/>
      <c r="I410" s="476"/>
      <c r="J410" s="476"/>
      <c r="K410" s="476"/>
      <c r="L410" s="76"/>
      <c r="M410" s="76"/>
    </row>
    <row r="411" spans="1:24" ht="15.75" customHeight="1" x14ac:dyDescent="0.3">
      <c r="A411" s="478" t="s">
        <v>350</v>
      </c>
      <c r="B411" s="156"/>
      <c r="C411" s="475"/>
      <c r="D411" s="235"/>
      <c r="E411" s="235"/>
      <c r="F411" s="476"/>
      <c r="G411" s="476"/>
      <c r="H411" s="483">
        <f ca="1">E418/F410</f>
        <v>5.0904895810801065</v>
      </c>
      <c r="I411" s="597" t="s">
        <v>368</v>
      </c>
      <c r="J411" s="597"/>
      <c r="K411" s="476"/>
      <c r="L411" s="76"/>
      <c r="M411" s="76"/>
    </row>
    <row r="412" spans="1:24" ht="15.75" customHeight="1" x14ac:dyDescent="0.3">
      <c r="A412" s="478"/>
      <c r="B412" s="156"/>
      <c r="C412" s="475"/>
      <c r="D412" s="235"/>
      <c r="E412" s="235"/>
      <c r="F412" s="476"/>
      <c r="G412" s="476"/>
      <c r="H412" s="156"/>
      <c r="I412" s="484"/>
      <c r="J412" s="484"/>
      <c r="K412" s="476"/>
      <c r="L412" s="76"/>
      <c r="M412" s="76"/>
    </row>
    <row r="413" spans="1:24" ht="21" customHeight="1" x14ac:dyDescent="0.3">
      <c r="A413" s="156"/>
      <c r="B413" s="485" t="s">
        <v>202</v>
      </c>
      <c r="C413" s="475"/>
      <c r="D413" s="235"/>
      <c r="E413" s="235"/>
      <c r="F413" s="476"/>
      <c r="G413" s="476"/>
      <c r="H413" s="476"/>
      <c r="I413" s="476"/>
      <c r="J413" s="476"/>
      <c r="K413" s="476"/>
      <c r="L413" s="76"/>
      <c r="M413" s="76"/>
    </row>
    <row r="414" spans="1:24" s="146" customFormat="1" ht="15.75" customHeight="1" x14ac:dyDescent="0.3">
      <c r="A414" s="209"/>
      <c r="B414" s="486" t="s">
        <v>490</v>
      </c>
      <c r="C414" s="487"/>
      <c r="D414" s="488"/>
      <c r="E414" s="495">
        <f>D425</f>
        <v>23</v>
      </c>
      <c r="F414" s="510">
        <f>D426</f>
        <v>17</v>
      </c>
      <c r="G414" s="511"/>
      <c r="H414" s="489"/>
      <c r="I414" s="489"/>
      <c r="J414" s="489"/>
      <c r="K414" s="489"/>
      <c r="L414" s="147"/>
      <c r="M414" s="147"/>
      <c r="N414" s="231"/>
      <c r="O414" s="196"/>
      <c r="P414" s="196"/>
      <c r="Q414" s="196"/>
      <c r="R414" s="231"/>
      <c r="S414" s="231"/>
      <c r="T414" s="231"/>
      <c r="U414" s="231"/>
      <c r="V414" s="231"/>
      <c r="W414" s="209"/>
      <c r="X414" s="209"/>
    </row>
    <row r="415" spans="1:24" s="146" customFormat="1" ht="15.75" customHeight="1" x14ac:dyDescent="0.3">
      <c r="A415" s="209"/>
      <c r="B415" s="486" t="s">
        <v>203</v>
      </c>
      <c r="C415" s="487"/>
      <c r="D415" s="488"/>
      <c r="E415" s="495">
        <f>D433</f>
        <v>15</v>
      </c>
      <c r="F415" s="510">
        <f>D434</f>
        <v>9</v>
      </c>
      <c r="G415" s="490"/>
      <c r="H415" s="489"/>
      <c r="I415" s="489"/>
      <c r="J415" s="489"/>
      <c r="K415" s="489"/>
      <c r="L415" s="147"/>
      <c r="M415" s="147"/>
      <c r="N415" s="231"/>
      <c r="O415" s="196"/>
      <c r="P415" s="196"/>
      <c r="Q415" s="196"/>
      <c r="R415" s="231"/>
      <c r="S415" s="231"/>
      <c r="T415" s="231"/>
      <c r="U415" s="231"/>
      <c r="V415" s="231"/>
      <c r="W415" s="209"/>
      <c r="X415" s="209"/>
    </row>
    <row r="416" spans="1:24" ht="21.75" customHeight="1" x14ac:dyDescent="0.3">
      <c r="B416" s="105" t="s">
        <v>489</v>
      </c>
      <c r="C416" s="16"/>
      <c r="D416" s="75"/>
      <c r="E416" s="422">
        <f>D427</f>
        <v>4</v>
      </c>
      <c r="F416" s="76"/>
      <c r="G416" s="76"/>
      <c r="H416" s="76"/>
      <c r="I416" s="76"/>
      <c r="J416" s="147"/>
      <c r="K416" s="76"/>
      <c r="L416" s="76"/>
      <c r="M416" s="76"/>
      <c r="R416" s="231"/>
    </row>
    <row r="417" spans="1:24" ht="15.75" customHeight="1" x14ac:dyDescent="0.3">
      <c r="B417" s="105" t="s">
        <v>491</v>
      </c>
      <c r="C417" s="16"/>
      <c r="D417" s="75"/>
      <c r="E417" s="604">
        <f>J424</f>
        <v>1009.3333333333333</v>
      </c>
      <c r="F417" s="604"/>
      <c r="G417" s="76"/>
      <c r="H417" s="76"/>
      <c r="I417" s="76"/>
      <c r="J417" s="76"/>
      <c r="K417" s="76"/>
      <c r="L417" s="76"/>
      <c r="M417" s="76"/>
      <c r="R417" s="231"/>
    </row>
    <row r="418" spans="1:24" ht="15.75" customHeight="1" x14ac:dyDescent="0.3">
      <c r="B418" s="105" t="s">
        <v>204</v>
      </c>
      <c r="C418" s="16"/>
      <c r="D418" s="75"/>
      <c r="E418" s="604">
        <f>J426</f>
        <v>823.66666666666663</v>
      </c>
      <c r="F418" s="604"/>
      <c r="G418" s="76"/>
      <c r="H418" s="76"/>
      <c r="I418" s="76"/>
      <c r="J418" s="76"/>
      <c r="K418" s="76"/>
      <c r="L418" s="76"/>
      <c r="M418" s="76"/>
      <c r="R418" s="231"/>
    </row>
    <row r="419" spans="1:24" ht="15.75" customHeight="1" x14ac:dyDescent="0.3">
      <c r="B419" s="105" t="s">
        <v>205</v>
      </c>
      <c r="C419" s="16"/>
      <c r="D419" s="75"/>
      <c r="E419" s="75"/>
      <c r="F419" s="76"/>
      <c r="G419" s="76"/>
      <c r="H419" s="603">
        <f>J428</f>
        <v>740.3425391642636</v>
      </c>
      <c r="I419" s="603"/>
      <c r="J419" s="76"/>
      <c r="K419" s="76"/>
      <c r="L419" s="76"/>
      <c r="M419" s="76"/>
      <c r="O419" s="232"/>
      <c r="P419" s="232"/>
      <c r="Q419" s="232"/>
      <c r="R419" s="232"/>
      <c r="S419" s="232"/>
    </row>
    <row r="420" spans="1:24" ht="15.75" customHeight="1" x14ac:dyDescent="0.3">
      <c r="A420" s="11"/>
      <c r="B420" s="3"/>
      <c r="C420" s="3"/>
      <c r="D420" s="3"/>
      <c r="E420" s="3"/>
      <c r="F420" s="4"/>
      <c r="G420" s="4"/>
      <c r="O420" s="232"/>
      <c r="P420" s="232"/>
      <c r="Q420" s="232"/>
      <c r="R420" s="232"/>
      <c r="S420" s="232"/>
    </row>
    <row r="421" spans="1:24" ht="15.75" customHeight="1" x14ac:dyDescent="0.25">
      <c r="A421" s="34"/>
      <c r="B421" s="608" t="s">
        <v>206</v>
      </c>
      <c r="C421" s="609"/>
      <c r="D421" s="609"/>
      <c r="E421" s="609"/>
      <c r="F421" s="609"/>
      <c r="G421" s="609"/>
      <c r="H421" s="609"/>
      <c r="I421" s="609"/>
      <c r="J421" s="609"/>
      <c r="K421" s="610"/>
      <c r="L421" s="76"/>
      <c r="M421" s="76"/>
      <c r="O421" s="232"/>
      <c r="P421" s="232"/>
      <c r="Q421" s="232"/>
      <c r="R421" s="232"/>
      <c r="S421" s="232"/>
    </row>
    <row r="422" spans="1:24" ht="15.75" customHeight="1" x14ac:dyDescent="0.3">
      <c r="A422" s="34"/>
      <c r="B422" s="94"/>
      <c r="C422" s="94"/>
      <c r="D422" s="94"/>
      <c r="E422" s="94"/>
      <c r="F422" s="94"/>
      <c r="G422" s="76"/>
      <c r="H422" s="76"/>
      <c r="I422" s="76"/>
      <c r="J422" s="76"/>
      <c r="K422" s="76"/>
      <c r="L422" s="76"/>
      <c r="M422" s="76"/>
      <c r="S422" s="329"/>
    </row>
    <row r="423" spans="1:24" customFormat="1" ht="21" customHeight="1" x14ac:dyDescent="0.35">
      <c r="B423" s="605" t="s">
        <v>207</v>
      </c>
      <c r="C423" s="606"/>
      <c r="D423" s="606"/>
      <c r="E423" s="607"/>
      <c r="F423" s="671" t="s">
        <v>379</v>
      </c>
      <c r="G423" s="671"/>
      <c r="H423" s="628" t="s">
        <v>208</v>
      </c>
      <c r="I423" s="628"/>
      <c r="J423" s="628"/>
      <c r="K423" s="628"/>
      <c r="L423" s="174"/>
      <c r="N423" s="236"/>
      <c r="O423" s="330"/>
      <c r="P423" s="330"/>
      <c r="Q423" s="330"/>
      <c r="R423" s="331"/>
      <c r="S423" s="331"/>
      <c r="T423" s="196"/>
      <c r="U423" s="236"/>
      <c r="V423" s="236"/>
      <c r="W423" s="210"/>
      <c r="X423" s="210"/>
    </row>
    <row r="424" spans="1:24" customFormat="1" x14ac:dyDescent="0.3">
      <c r="B424" s="598" t="s">
        <v>210</v>
      </c>
      <c r="C424" s="599"/>
      <c r="D424" s="599"/>
      <c r="E424" s="600"/>
      <c r="F424" s="671"/>
      <c r="G424" s="671"/>
      <c r="H424" s="593" t="s">
        <v>209</v>
      </c>
      <c r="I424" s="593"/>
      <c r="J424" s="684">
        <f>(D427/6)*(D430+D435+4*J440)</f>
        <v>1009.3333333333333</v>
      </c>
      <c r="K424" s="684"/>
      <c r="N424" s="236"/>
      <c r="O424" s="218" t="s">
        <v>369</v>
      </c>
      <c r="P424" s="225" t="s">
        <v>370</v>
      </c>
      <c r="Q424" s="226" t="s">
        <v>209</v>
      </c>
      <c r="R424" s="226" t="s">
        <v>222</v>
      </c>
      <c r="S424" s="226" t="s">
        <v>222</v>
      </c>
      <c r="T424" s="196"/>
      <c r="U424" s="236"/>
      <c r="V424" s="236"/>
      <c r="W424" s="210"/>
      <c r="X424" s="210"/>
    </row>
    <row r="425" spans="1:24" customFormat="1" x14ac:dyDescent="0.3">
      <c r="B425" s="585" t="s">
        <v>212</v>
      </c>
      <c r="C425" s="586"/>
      <c r="D425" s="587">
        <v>23</v>
      </c>
      <c r="E425" s="588"/>
      <c r="F425" s="671"/>
      <c r="G425" s="671"/>
      <c r="H425" s="593" t="s">
        <v>211</v>
      </c>
      <c r="I425" s="593"/>
      <c r="J425" s="594">
        <f>((D429)/6)*(D430+D439+4*D445)</f>
        <v>185.66666666666666</v>
      </c>
      <c r="K425" s="594"/>
      <c r="N425" s="236"/>
      <c r="O425" s="211">
        <f>G98</f>
        <v>29299.999999999996</v>
      </c>
      <c r="P425" s="409">
        <v>1</v>
      </c>
      <c r="Q425" s="212">
        <f>IF(P425=0.8,O425*(1.6/35),O425*(2/60))</f>
        <v>976.66666666666652</v>
      </c>
      <c r="R425" s="252">
        <f>(D425+2*J434+4)*(D426+2*J434+4)</f>
        <v>775</v>
      </c>
      <c r="S425" s="252">
        <f>IF(P425=0.8,((Q476*35)/1.6),(Q476*60)/2)</f>
        <v>30279.999999999996</v>
      </c>
      <c r="T425" s="196"/>
      <c r="U425" s="236"/>
      <c r="V425" s="236"/>
      <c r="W425" s="210"/>
      <c r="X425" s="210"/>
    </row>
    <row r="426" spans="1:24" customFormat="1" ht="17.399999999999999" x14ac:dyDescent="0.3">
      <c r="B426" s="585" t="s">
        <v>214</v>
      </c>
      <c r="C426" s="586"/>
      <c r="D426" s="587">
        <v>17</v>
      </c>
      <c r="E426" s="588"/>
      <c r="F426" s="671"/>
      <c r="G426" s="671"/>
      <c r="H426" s="591" t="s">
        <v>213</v>
      </c>
      <c r="I426" s="591"/>
      <c r="J426" s="592">
        <f>J424-J425</f>
        <v>823.66666666666663</v>
      </c>
      <c r="K426" s="592"/>
      <c r="N426" s="236"/>
      <c r="O426" s="234"/>
      <c r="P426" s="234"/>
      <c r="Q426" s="234"/>
      <c r="R426" s="236"/>
      <c r="S426" s="330"/>
      <c r="T426" s="236"/>
      <c r="U426" s="236"/>
      <c r="V426" s="236"/>
      <c r="W426" s="210"/>
      <c r="X426" s="210"/>
    </row>
    <row r="427" spans="1:24" customFormat="1" x14ac:dyDescent="0.3">
      <c r="B427" s="585" t="s">
        <v>216</v>
      </c>
      <c r="C427" s="586"/>
      <c r="D427" s="589">
        <v>4</v>
      </c>
      <c r="E427" s="590"/>
      <c r="F427" s="671"/>
      <c r="G427" s="671"/>
      <c r="H427" s="628" t="s">
        <v>215</v>
      </c>
      <c r="I427" s="628"/>
      <c r="J427" s="628"/>
      <c r="K427" s="628"/>
      <c r="N427" s="236"/>
      <c r="O427" s="234"/>
      <c r="P427" s="234"/>
      <c r="Q427" s="234"/>
      <c r="R427" s="236"/>
      <c r="S427" s="468"/>
      <c r="T427" s="236"/>
      <c r="U427" s="236"/>
      <c r="V427" s="236"/>
      <c r="W427" s="210"/>
      <c r="X427" s="210"/>
    </row>
    <row r="428" spans="1:24" customFormat="1" x14ac:dyDescent="0.3">
      <c r="B428" s="585" t="s">
        <v>218</v>
      </c>
      <c r="C428" s="586"/>
      <c r="D428" s="682">
        <v>1</v>
      </c>
      <c r="E428" s="683"/>
      <c r="F428" s="671"/>
      <c r="G428" s="671"/>
      <c r="H428" s="591" t="s">
        <v>217</v>
      </c>
      <c r="I428" s="591"/>
      <c r="J428" s="687">
        <f>J429+J431+((J429+J431)*J432)</f>
        <v>740.3425391642636</v>
      </c>
      <c r="K428" s="687"/>
      <c r="N428" s="236"/>
      <c r="O428" s="234"/>
      <c r="P428" s="234"/>
      <c r="Q428" s="234"/>
      <c r="R428" s="236"/>
      <c r="S428" s="236"/>
      <c r="T428" s="236"/>
      <c r="U428" s="236"/>
      <c r="V428" s="236"/>
      <c r="W428" s="210"/>
      <c r="X428" s="210"/>
    </row>
    <row r="429" spans="1:24" customFormat="1" x14ac:dyDescent="0.3">
      <c r="B429" s="585" t="s">
        <v>220</v>
      </c>
      <c r="C429" s="586"/>
      <c r="D429" s="677">
        <v>0.5</v>
      </c>
      <c r="E429" s="678"/>
      <c r="F429" s="671"/>
      <c r="G429" s="671"/>
      <c r="H429" s="591" t="s">
        <v>219</v>
      </c>
      <c r="I429" s="591"/>
      <c r="J429" s="688">
        <f>D435+2*((D425+D433)/2)*J430+2*((D426+D434)/2)*J430</f>
        <v>497.03867196751241</v>
      </c>
      <c r="K429" s="688"/>
      <c r="N429" s="236"/>
      <c r="O429" s="196"/>
      <c r="P429" s="234"/>
      <c r="Q429" s="494"/>
      <c r="R429" s="236"/>
      <c r="S429" s="285"/>
      <c r="T429" s="236"/>
      <c r="U429" s="236"/>
      <c r="V429" s="236"/>
      <c r="W429" s="210"/>
      <c r="X429" s="210"/>
    </row>
    <row r="430" spans="1:24" customFormat="1" ht="15.75" customHeight="1" x14ac:dyDescent="0.3">
      <c r="B430" s="585" t="s">
        <v>222</v>
      </c>
      <c r="C430" s="586"/>
      <c r="D430" s="679">
        <f>D425*D426</f>
        <v>391</v>
      </c>
      <c r="E430" s="680"/>
      <c r="F430" s="671"/>
      <c r="G430" s="671"/>
      <c r="H430" s="591" t="s">
        <v>221</v>
      </c>
      <c r="I430" s="591"/>
      <c r="J430" s="620">
        <f>SQRT((D427*D427)+(D427*D428)*(D427*D428))</f>
        <v>5.6568542494923806</v>
      </c>
      <c r="K430" s="620"/>
      <c r="N430" s="236"/>
      <c r="O430" s="196"/>
      <c r="P430" s="234"/>
      <c r="Q430" s="196"/>
      <c r="R430" s="236"/>
      <c r="S430" s="236"/>
      <c r="T430" s="236"/>
      <c r="U430" s="236"/>
      <c r="V430" s="236"/>
      <c r="W430" s="210"/>
      <c r="X430" s="210"/>
    </row>
    <row r="431" spans="1:24" customFormat="1" x14ac:dyDescent="0.3">
      <c r="B431" s="629"/>
      <c r="C431" s="630"/>
      <c r="D431" s="630"/>
      <c r="E431" s="631"/>
      <c r="F431" s="671"/>
      <c r="G431" s="671"/>
      <c r="H431" s="591" t="s">
        <v>223</v>
      </c>
      <c r="I431" s="591"/>
      <c r="J431" s="689">
        <f>16+((D425+D426)*2*2)</f>
        <v>176</v>
      </c>
      <c r="K431" s="689"/>
      <c r="N431" s="236"/>
      <c r="O431" s="196"/>
      <c r="P431" s="196"/>
      <c r="Q431" s="196"/>
      <c r="R431" s="236"/>
      <c r="S431" s="236"/>
      <c r="T431" s="236"/>
      <c r="U431" s="236"/>
      <c r="V431" s="236"/>
      <c r="W431" s="210"/>
      <c r="X431" s="210"/>
    </row>
    <row r="432" spans="1:24" customFormat="1" ht="15.75" customHeight="1" x14ac:dyDescent="0.3">
      <c r="B432" s="598" t="s">
        <v>224</v>
      </c>
      <c r="C432" s="599"/>
      <c r="D432" s="599"/>
      <c r="E432" s="600"/>
      <c r="F432" s="671"/>
      <c r="G432" s="671"/>
      <c r="H432" s="591" t="s">
        <v>225</v>
      </c>
      <c r="I432" s="591"/>
      <c r="J432" s="690">
        <v>0.1</v>
      </c>
      <c r="K432" s="690"/>
      <c r="N432" s="236"/>
      <c r="O432" s="196"/>
      <c r="P432" s="196"/>
      <c r="Q432" s="196"/>
      <c r="R432" s="236"/>
      <c r="S432" s="236"/>
      <c r="T432" s="236"/>
      <c r="U432" s="236"/>
      <c r="V432" s="236"/>
      <c r="W432" s="210"/>
      <c r="X432" s="210"/>
    </row>
    <row r="433" spans="2:24" customFormat="1" x14ac:dyDescent="0.3">
      <c r="B433" s="585" t="s">
        <v>212</v>
      </c>
      <c r="C433" s="586"/>
      <c r="D433" s="621">
        <f>D425-2*(D428*D427)</f>
        <v>15</v>
      </c>
      <c r="E433" s="622"/>
      <c r="F433" s="671"/>
      <c r="G433" s="671"/>
      <c r="H433" s="628" t="s">
        <v>226</v>
      </c>
      <c r="I433" s="628"/>
      <c r="J433" s="628"/>
      <c r="K433" s="628"/>
      <c r="N433" s="236"/>
      <c r="O433" s="196"/>
      <c r="P433" s="196"/>
      <c r="Q433" s="196"/>
      <c r="R433" s="236"/>
      <c r="S433" s="236"/>
      <c r="T433" s="236"/>
      <c r="U433" s="236"/>
      <c r="V433" s="236"/>
      <c r="W433" s="210"/>
      <c r="X433" s="210"/>
    </row>
    <row r="434" spans="2:24" customFormat="1" x14ac:dyDescent="0.3">
      <c r="B434" s="585" t="s">
        <v>214</v>
      </c>
      <c r="C434" s="586"/>
      <c r="D434" s="621">
        <f>D426-2*(D428*D427)</f>
        <v>9</v>
      </c>
      <c r="E434" s="622"/>
      <c r="F434" s="671"/>
      <c r="G434" s="671"/>
      <c r="H434" s="593" t="s">
        <v>227</v>
      </c>
      <c r="I434" s="593"/>
      <c r="J434" s="693">
        <v>2</v>
      </c>
      <c r="K434" s="693"/>
      <c r="N434" s="236"/>
      <c r="O434" s="196"/>
      <c r="P434" s="196"/>
      <c r="Q434" s="196"/>
      <c r="R434" s="236"/>
      <c r="S434" s="236"/>
      <c r="T434" s="236"/>
      <c r="U434" s="236"/>
      <c r="V434" s="236"/>
      <c r="W434" s="210"/>
      <c r="X434" s="210"/>
    </row>
    <row r="435" spans="2:24" customFormat="1" ht="15.75" customHeight="1" x14ac:dyDescent="0.3">
      <c r="B435" s="585" t="s">
        <v>222</v>
      </c>
      <c r="C435" s="586"/>
      <c r="D435" s="618">
        <f>D433*D434</f>
        <v>135</v>
      </c>
      <c r="E435" s="619"/>
      <c r="F435" s="671"/>
      <c r="G435" s="671"/>
      <c r="H435" s="593" t="s">
        <v>222</v>
      </c>
      <c r="I435" s="593"/>
      <c r="J435" s="681">
        <f>((D425+2*J434)*(D426+2*J434))-(D425*D426)</f>
        <v>176</v>
      </c>
      <c r="K435" s="681"/>
      <c r="N435" s="236"/>
      <c r="O435" s="196"/>
      <c r="P435" s="196"/>
      <c r="Q435" s="196"/>
      <c r="R435" s="236"/>
      <c r="S435" s="236"/>
      <c r="T435" s="236"/>
      <c r="U435" s="236"/>
      <c r="V435" s="236"/>
      <c r="W435" s="210"/>
      <c r="X435" s="210"/>
    </row>
    <row r="436" spans="2:24" customFormat="1" ht="15.75" customHeight="1" x14ac:dyDescent="0.3">
      <c r="B436" s="598" t="s">
        <v>228</v>
      </c>
      <c r="C436" s="599"/>
      <c r="D436" s="599"/>
      <c r="E436" s="600"/>
      <c r="F436" s="671"/>
      <c r="G436" s="671"/>
      <c r="H436" s="593" t="s">
        <v>371</v>
      </c>
      <c r="I436" s="593"/>
      <c r="J436" s="668">
        <f>(2*D425)+(2*D426)+4*J434</f>
        <v>88</v>
      </c>
      <c r="K436" s="668"/>
      <c r="N436" s="236"/>
      <c r="O436" s="234"/>
      <c r="P436" s="234"/>
      <c r="Q436" s="196"/>
      <c r="R436" s="236"/>
      <c r="S436" s="236"/>
      <c r="T436" s="236"/>
      <c r="U436" s="236"/>
      <c r="V436" s="236"/>
      <c r="W436" s="210"/>
      <c r="X436" s="210"/>
    </row>
    <row r="437" spans="2:24" customFormat="1" x14ac:dyDescent="0.3">
      <c r="B437" s="585" t="s">
        <v>212</v>
      </c>
      <c r="C437" s="586"/>
      <c r="D437" s="675">
        <f>D425-2*(D429*D428)</f>
        <v>22</v>
      </c>
      <c r="E437" s="676"/>
      <c r="F437" s="671"/>
      <c r="G437" s="671"/>
      <c r="H437" s="628" t="s">
        <v>229</v>
      </c>
      <c r="I437" s="628"/>
      <c r="J437" s="628"/>
      <c r="K437" s="628"/>
      <c r="N437" s="236"/>
      <c r="O437" s="234"/>
      <c r="P437" s="234"/>
      <c r="Q437" s="196"/>
      <c r="R437" s="236"/>
      <c r="S437" s="236"/>
      <c r="T437" s="236"/>
      <c r="U437" s="236"/>
      <c r="V437" s="236"/>
      <c r="W437" s="210"/>
      <c r="X437" s="210"/>
    </row>
    <row r="438" spans="2:24" customFormat="1" ht="15" customHeight="1" x14ac:dyDescent="0.3">
      <c r="B438" s="585" t="s">
        <v>214</v>
      </c>
      <c r="C438" s="586"/>
      <c r="D438" s="675">
        <f>D426-2*(D429*D428)</f>
        <v>16</v>
      </c>
      <c r="E438" s="676"/>
      <c r="F438" s="671"/>
      <c r="G438" s="671"/>
      <c r="H438" s="593" t="s">
        <v>212</v>
      </c>
      <c r="I438" s="593"/>
      <c r="J438" s="620">
        <f>(D425+D433)/2</f>
        <v>19</v>
      </c>
      <c r="K438" s="620"/>
      <c r="N438" s="236"/>
      <c r="O438" s="158"/>
      <c r="P438" s="246"/>
      <c r="Q438" s="234"/>
      <c r="R438" s="236"/>
      <c r="S438" s="236"/>
      <c r="T438" s="236"/>
      <c r="U438" s="236"/>
      <c r="V438" s="236"/>
      <c r="W438" s="210"/>
      <c r="X438" s="210"/>
    </row>
    <row r="439" spans="2:24" customFormat="1" ht="15" customHeight="1" x14ac:dyDescent="0.3">
      <c r="B439" s="585" t="s">
        <v>222</v>
      </c>
      <c r="C439" s="586"/>
      <c r="D439" s="618">
        <f>D437*D438</f>
        <v>352</v>
      </c>
      <c r="E439" s="619"/>
      <c r="F439" s="671"/>
      <c r="G439" s="671"/>
      <c r="H439" s="593" t="s">
        <v>214</v>
      </c>
      <c r="I439" s="593"/>
      <c r="J439" s="620">
        <f>(D426+D434)/2</f>
        <v>13</v>
      </c>
      <c r="K439" s="620"/>
      <c r="N439" s="236"/>
      <c r="O439" s="196"/>
      <c r="P439" s="246"/>
      <c r="Q439" s="234"/>
      <c r="R439" s="236"/>
      <c r="S439" s="236"/>
      <c r="T439" s="236"/>
      <c r="U439" s="236"/>
      <c r="V439" s="236"/>
      <c r="W439" s="210"/>
      <c r="X439" s="210"/>
    </row>
    <row r="440" spans="2:24" customFormat="1" ht="15.75" customHeight="1" x14ac:dyDescent="0.3">
      <c r="B440" s="585" t="s">
        <v>230</v>
      </c>
      <c r="C440" s="586"/>
      <c r="D440" s="621">
        <f>D427-D429</f>
        <v>3.5</v>
      </c>
      <c r="E440" s="622"/>
      <c r="F440" s="671"/>
      <c r="G440" s="671"/>
      <c r="H440" s="593" t="s">
        <v>222</v>
      </c>
      <c r="I440" s="593"/>
      <c r="J440" s="681">
        <f>J438*J439</f>
        <v>247</v>
      </c>
      <c r="K440" s="681"/>
      <c r="N440" s="236"/>
      <c r="O440" s="196"/>
      <c r="P440" s="234"/>
      <c r="Q440" s="234"/>
      <c r="R440" s="236"/>
      <c r="S440" s="236"/>
      <c r="T440" s="236"/>
      <c r="U440" s="236"/>
      <c r="V440" s="236"/>
      <c r="W440" s="210"/>
      <c r="X440" s="210"/>
    </row>
    <row r="441" spans="2:24" customFormat="1" x14ac:dyDescent="0.3">
      <c r="B441" s="625" t="s">
        <v>231</v>
      </c>
      <c r="C441" s="626"/>
      <c r="D441" s="626"/>
      <c r="E441" s="627"/>
      <c r="F441" s="671"/>
      <c r="G441" s="671"/>
      <c r="H441" s="628" t="s">
        <v>232</v>
      </c>
      <c r="I441" s="628"/>
      <c r="J441" s="628"/>
      <c r="K441" s="628"/>
      <c r="N441" s="236"/>
      <c r="O441" s="196"/>
      <c r="P441" s="234"/>
      <c r="Q441" s="234"/>
      <c r="R441" s="236"/>
      <c r="S441" s="236"/>
      <c r="T441" s="236"/>
      <c r="U441" s="236"/>
      <c r="V441" s="236"/>
      <c r="W441" s="210"/>
      <c r="X441" s="210"/>
    </row>
    <row r="442" spans="2:24" customFormat="1" ht="15.75" customHeight="1" x14ac:dyDescent="0.3">
      <c r="B442" s="585" t="s">
        <v>212</v>
      </c>
      <c r="C442" s="586"/>
      <c r="D442" s="621">
        <f>(D437+D433)/2</f>
        <v>18.5</v>
      </c>
      <c r="E442" s="622"/>
      <c r="F442" s="671"/>
      <c r="G442" s="671"/>
      <c r="H442" s="624" t="s">
        <v>233</v>
      </c>
      <c r="I442" s="624"/>
      <c r="J442" s="697">
        <v>3.5</v>
      </c>
      <c r="K442" s="697"/>
      <c r="N442" s="236"/>
      <c r="O442" s="196"/>
      <c r="P442" s="234"/>
      <c r="Q442" s="234"/>
      <c r="R442" s="236"/>
      <c r="S442" s="236"/>
      <c r="T442" s="236"/>
      <c r="U442" s="236"/>
      <c r="V442" s="236"/>
      <c r="W442" s="210"/>
      <c r="X442" s="210"/>
    </row>
    <row r="443" spans="2:24" customFormat="1" ht="15.75" customHeight="1" x14ac:dyDescent="0.3">
      <c r="B443" s="585" t="s">
        <v>214</v>
      </c>
      <c r="C443" s="586"/>
      <c r="D443" s="621">
        <f>(D438+D434)/2</f>
        <v>12.5</v>
      </c>
      <c r="E443" s="622"/>
      <c r="F443" s="671"/>
      <c r="G443" s="671"/>
      <c r="H443" s="624" t="s">
        <v>234</v>
      </c>
      <c r="I443" s="624"/>
      <c r="J443" s="617">
        <f>(J442/6)*(D435+((D433+2*J442)*(D434+2*J442))+4*(((D433+(D433+J442*2))/2)*((D434+(D434+J442*2))/2)))</f>
        <v>823.66666666666674</v>
      </c>
      <c r="K443" s="617" t="e">
        <f>(K442/6)*(H435+((H433+2*K442)*(H434+2*K442))+4*(((H433+(H433+K442*2))/2)*((H434+(H434+K442*2))/2)))</f>
        <v>#VALUE!</v>
      </c>
      <c r="N443" s="236"/>
      <c r="O443" s="234"/>
      <c r="P443" s="234"/>
      <c r="Q443" s="234"/>
      <c r="R443" s="236"/>
      <c r="S443" s="236"/>
      <c r="T443" s="236"/>
      <c r="U443" s="236"/>
      <c r="V443" s="236"/>
      <c r="W443" s="210"/>
      <c r="X443" s="210"/>
    </row>
    <row r="444" spans="2:24" customFormat="1" ht="15.75" customHeight="1" x14ac:dyDescent="0.3">
      <c r="B444" s="585" t="s">
        <v>222</v>
      </c>
      <c r="C444" s="586"/>
      <c r="D444" s="618">
        <f>D442*D443</f>
        <v>231.25</v>
      </c>
      <c r="E444" s="619"/>
      <c r="F444" s="671"/>
      <c r="G444" s="671"/>
      <c r="H444" s="624" t="s">
        <v>380</v>
      </c>
      <c r="I444" s="624"/>
      <c r="J444" s="623">
        <f>((J434+((D427-J442)*1.25)+J434+((D427-J442)*D428))/2)*((D427-J442))</f>
        <v>1.28125</v>
      </c>
      <c r="K444" s="623"/>
      <c r="N444" s="236"/>
      <c r="O444" s="234"/>
      <c r="P444" s="234"/>
      <c r="Q444" s="234"/>
      <c r="R444" s="236"/>
      <c r="S444" s="236"/>
      <c r="T444" s="236"/>
      <c r="U444" s="236"/>
      <c r="V444" s="236"/>
      <c r="W444" s="210"/>
      <c r="X444" s="210"/>
    </row>
    <row r="445" spans="2:24" customFormat="1" ht="15.75" customHeight="1" x14ac:dyDescent="0.3">
      <c r="B445" s="585" t="s">
        <v>235</v>
      </c>
      <c r="C445" s="586"/>
      <c r="D445" s="618">
        <f>(D425+D437)/2*(D426+D438)/2</f>
        <v>371.25</v>
      </c>
      <c r="E445" s="619"/>
      <c r="F445" s="671"/>
      <c r="G445" s="671"/>
      <c r="H445" s="624" t="s">
        <v>236</v>
      </c>
      <c r="I445" s="624"/>
      <c r="J445" s="617">
        <f>ROUND(J444*J436,2)</f>
        <v>112.75</v>
      </c>
      <c r="K445" s="617"/>
      <c r="N445" s="236"/>
      <c r="O445" s="234"/>
      <c r="P445" s="234"/>
      <c r="Q445" s="234"/>
      <c r="R445" s="236"/>
      <c r="S445" s="236"/>
      <c r="T445" s="236"/>
      <c r="U445" s="236"/>
      <c r="V445" s="236"/>
      <c r="W445" s="210"/>
      <c r="X445" s="210"/>
    </row>
    <row r="446" spans="2:24" customFormat="1" x14ac:dyDescent="0.3">
      <c r="B446" s="625" t="s">
        <v>372</v>
      </c>
      <c r="C446" s="626"/>
      <c r="D446" s="626"/>
      <c r="E446" s="627"/>
      <c r="F446" s="671"/>
      <c r="G446" s="671"/>
      <c r="H446" s="628"/>
      <c r="I446" s="628"/>
      <c r="J446" s="628"/>
      <c r="K446" s="628"/>
      <c r="N446" s="236"/>
      <c r="O446" s="234"/>
      <c r="P446" s="234"/>
      <c r="Q446" s="234"/>
      <c r="R446" s="236"/>
      <c r="S446" s="236"/>
      <c r="T446" s="236"/>
      <c r="U446" s="236"/>
      <c r="V446" s="236"/>
      <c r="W446" s="210"/>
      <c r="X446" s="210"/>
    </row>
    <row r="447" spans="2:24" customFormat="1" ht="15.75" customHeight="1" x14ac:dyDescent="0.3">
      <c r="B447" s="585" t="s">
        <v>371</v>
      </c>
      <c r="C447" s="586"/>
      <c r="D447" s="615">
        <f>2*D425+2*D426+8</f>
        <v>88</v>
      </c>
      <c r="E447" s="616"/>
      <c r="F447" s="671"/>
      <c r="G447" s="671"/>
      <c r="H447" s="593" t="s">
        <v>373</v>
      </c>
      <c r="I447" s="593"/>
      <c r="J447" s="668">
        <f>ROUNDUP((D447+8)/D448,0)</f>
        <v>32</v>
      </c>
      <c r="K447" s="668"/>
      <c r="N447" s="236"/>
      <c r="O447" s="234"/>
      <c r="P447" s="234"/>
      <c r="Q447" s="234"/>
      <c r="R447" s="236"/>
      <c r="S447" s="236"/>
      <c r="T447" s="236"/>
      <c r="U447" s="236"/>
      <c r="V447" s="236"/>
      <c r="W447" s="210"/>
      <c r="X447" s="210"/>
    </row>
    <row r="448" spans="2:24" customFormat="1" ht="15.75" customHeight="1" x14ac:dyDescent="0.3">
      <c r="B448" s="669" t="s">
        <v>374</v>
      </c>
      <c r="C448" s="670"/>
      <c r="D448" s="675">
        <v>3</v>
      </c>
      <c r="E448" s="676"/>
      <c r="F448" s="671"/>
      <c r="G448" s="671"/>
      <c r="H448" s="593" t="s">
        <v>375</v>
      </c>
      <c r="I448" s="593"/>
      <c r="J448" s="667">
        <f>(D447+8)*D450</f>
        <v>144</v>
      </c>
      <c r="K448" s="667"/>
      <c r="N448" s="236"/>
      <c r="O448" s="234"/>
      <c r="P448" s="234"/>
      <c r="Q448" s="234"/>
      <c r="R448" s="236"/>
      <c r="S448" s="236"/>
      <c r="T448" s="236"/>
      <c r="U448" s="236"/>
      <c r="V448" s="236"/>
      <c r="W448" s="210"/>
      <c r="X448" s="210"/>
    </row>
    <row r="449" spans="1:198" customFormat="1" ht="15.75" customHeight="1" x14ac:dyDescent="0.3">
      <c r="B449" s="585" t="s">
        <v>376</v>
      </c>
      <c r="C449" s="586"/>
      <c r="D449" s="615">
        <v>50</v>
      </c>
      <c r="E449" s="616"/>
      <c r="F449" s="671"/>
      <c r="G449" s="671"/>
      <c r="H449" s="593" t="s">
        <v>377</v>
      </c>
      <c r="I449" s="593"/>
      <c r="J449" s="642">
        <f>ROUNDUP(D447/D449,0)</f>
        <v>2</v>
      </c>
      <c r="K449" s="642"/>
      <c r="N449" s="236"/>
      <c r="O449" s="234"/>
      <c r="P449" s="234"/>
      <c r="Q449" s="234"/>
      <c r="R449" s="236"/>
      <c r="S449" s="236"/>
      <c r="T449" s="236"/>
      <c r="U449" s="236"/>
      <c r="V449" s="236"/>
      <c r="W449" s="210"/>
      <c r="X449" s="210"/>
    </row>
    <row r="450" spans="1:198" customFormat="1" ht="15.75" customHeight="1" x14ac:dyDescent="0.3">
      <c r="B450" s="585" t="s">
        <v>378</v>
      </c>
      <c r="C450" s="586"/>
      <c r="D450" s="675">
        <v>1.5</v>
      </c>
      <c r="E450" s="676"/>
      <c r="F450" s="671"/>
      <c r="G450" s="671"/>
      <c r="H450" s="629"/>
      <c r="I450" s="630"/>
      <c r="J450" s="630"/>
      <c r="K450" s="631"/>
      <c r="N450" s="236"/>
      <c r="O450" s="234"/>
      <c r="P450" s="234"/>
      <c r="Q450" s="234"/>
      <c r="R450" s="236"/>
      <c r="S450" s="236"/>
      <c r="T450" s="236"/>
      <c r="U450" s="236"/>
      <c r="V450" s="236"/>
      <c r="W450" s="210"/>
      <c r="X450" s="210"/>
    </row>
    <row r="451" spans="1:198" ht="15.75" customHeight="1" x14ac:dyDescent="0.3">
      <c r="A451" s="34"/>
      <c r="B451" s="34"/>
      <c r="C451" s="75"/>
      <c r="D451" s="75"/>
      <c r="E451" s="76"/>
      <c r="F451" s="76"/>
      <c r="G451" s="76"/>
      <c r="H451" s="76"/>
      <c r="I451" s="76"/>
      <c r="J451" s="76"/>
      <c r="K451" s="76"/>
      <c r="L451" s="76"/>
      <c r="M451" s="76"/>
    </row>
    <row r="452" spans="1:198" ht="15.75" customHeight="1" x14ac:dyDescent="0.3">
      <c r="A452" s="34"/>
      <c r="C452" s="75"/>
      <c r="E452" s="76"/>
      <c r="F452" s="76"/>
      <c r="G452" s="76"/>
      <c r="H452" s="76"/>
      <c r="I452" s="76"/>
      <c r="J452" s="76"/>
      <c r="K452" s="76"/>
      <c r="L452" s="76"/>
      <c r="M452" s="76"/>
    </row>
    <row r="456" spans="1:198" s="19" customFormat="1" ht="39.6" x14ac:dyDescent="0.25">
      <c r="A456" s="53"/>
      <c r="B456" s="53"/>
      <c r="C456" s="372" t="s">
        <v>89</v>
      </c>
      <c r="D456" s="372" t="s">
        <v>21</v>
      </c>
      <c r="E456" s="372" t="s">
        <v>332</v>
      </c>
      <c r="F456" s="372" t="s">
        <v>164</v>
      </c>
      <c r="G456" s="372" t="s">
        <v>113</v>
      </c>
      <c r="H456" s="372" t="s">
        <v>333</v>
      </c>
      <c r="I456" s="372" t="s">
        <v>334</v>
      </c>
      <c r="J456" s="372" t="s">
        <v>286</v>
      </c>
      <c r="K456" s="372" t="s">
        <v>335</v>
      </c>
      <c r="L456" s="372" t="s">
        <v>336</v>
      </c>
      <c r="M456" s="372" t="s">
        <v>337</v>
      </c>
      <c r="N456" s="392" t="s">
        <v>338</v>
      </c>
      <c r="O456" s="158"/>
      <c r="V456" s="158"/>
      <c r="W456" s="172"/>
      <c r="X456" s="172"/>
      <c r="AR456" s="53"/>
      <c r="AS456" s="53"/>
      <c r="AT456" s="53"/>
      <c r="AU456" s="53"/>
      <c r="AV456" s="53"/>
      <c r="AW456" s="53"/>
      <c r="AX456" s="53"/>
      <c r="AY456" s="53"/>
      <c r="AZ456" s="53"/>
      <c r="BA456" s="53"/>
      <c r="BB456" s="53"/>
      <c r="BC456" s="53"/>
      <c r="BD456" s="53"/>
      <c r="BE456" s="53"/>
      <c r="BF456" s="53"/>
      <c r="BG456" s="53"/>
      <c r="BH456" s="53"/>
      <c r="BI456" s="53"/>
      <c r="BJ456" s="53"/>
      <c r="BK456" s="53"/>
      <c r="BL456" s="53"/>
      <c r="BM456" s="53"/>
      <c r="BN456" s="53"/>
      <c r="BO456" s="53"/>
      <c r="BP456" s="53"/>
      <c r="BQ456" s="53"/>
      <c r="BR456" s="53"/>
      <c r="BS456" s="53"/>
      <c r="BT456" s="53"/>
      <c r="BU456" s="53"/>
      <c r="BV456" s="53"/>
      <c r="BW456" s="53"/>
      <c r="BX456" s="53"/>
      <c r="BY456" s="53"/>
      <c r="BZ456" s="53"/>
      <c r="CA456" s="53"/>
      <c r="CB456" s="53"/>
      <c r="CC456" s="53"/>
      <c r="CD456" s="53"/>
      <c r="CE456" s="53"/>
      <c r="CF456" s="53"/>
      <c r="CG456" s="53"/>
      <c r="CH456" s="53"/>
      <c r="CI456" s="53"/>
      <c r="CJ456" s="53"/>
      <c r="CK456" s="53"/>
      <c r="CL456" s="53"/>
      <c r="CM456" s="53"/>
      <c r="CN456" s="53"/>
      <c r="CO456" s="53"/>
      <c r="CP456" s="53"/>
      <c r="CQ456" s="53"/>
      <c r="CR456" s="53"/>
      <c r="CS456" s="53"/>
      <c r="CT456" s="53"/>
      <c r="CU456" s="53"/>
      <c r="CV456" s="53"/>
      <c r="CW456" s="53"/>
      <c r="CX456" s="53"/>
      <c r="CY456" s="53"/>
      <c r="CZ456" s="53"/>
      <c r="DA456" s="53"/>
      <c r="DB456" s="53"/>
      <c r="DC456" s="53"/>
      <c r="DD456" s="53"/>
      <c r="DE456" s="53"/>
      <c r="DF456" s="53"/>
      <c r="DG456" s="53"/>
      <c r="DH456" s="53"/>
      <c r="DI456" s="53"/>
      <c r="DJ456" s="53"/>
      <c r="DK456" s="53"/>
      <c r="DL456" s="53"/>
      <c r="DM456" s="53"/>
      <c r="DN456" s="53"/>
      <c r="DO456" s="53"/>
      <c r="DP456" s="53"/>
      <c r="DQ456" s="53"/>
      <c r="DR456" s="53"/>
      <c r="DS456" s="53"/>
      <c r="DT456" s="53"/>
      <c r="DU456" s="53"/>
      <c r="DV456" s="53"/>
      <c r="DW456" s="53"/>
      <c r="DX456" s="53"/>
      <c r="DY456" s="53"/>
      <c r="DZ456" s="53"/>
      <c r="EA456" s="53"/>
      <c r="EB456" s="53"/>
      <c r="EC456" s="53"/>
      <c r="ED456" s="53"/>
      <c r="EE456" s="53"/>
      <c r="EF456" s="53"/>
      <c r="EG456" s="53"/>
      <c r="EH456" s="53"/>
      <c r="EI456" s="53"/>
      <c r="EJ456" s="53"/>
      <c r="EK456" s="53"/>
      <c r="EL456" s="53"/>
      <c r="EM456" s="53"/>
      <c r="EN456" s="53"/>
      <c r="EO456" s="53"/>
      <c r="EP456" s="53"/>
      <c r="EQ456" s="53"/>
      <c r="ER456" s="53"/>
      <c r="ES456" s="53"/>
      <c r="ET456" s="53"/>
      <c r="EU456" s="53"/>
      <c r="EV456" s="53"/>
      <c r="EW456" s="53"/>
      <c r="EX456" s="53"/>
      <c r="EY456" s="53"/>
      <c r="EZ456" s="53"/>
      <c r="FA456" s="53"/>
      <c r="FB456" s="53"/>
      <c r="FC456" s="53"/>
      <c r="FD456" s="53"/>
      <c r="FE456" s="53"/>
      <c r="FF456" s="53"/>
      <c r="FG456" s="53"/>
      <c r="FH456" s="53"/>
      <c r="FI456" s="53"/>
      <c r="FJ456" s="53"/>
      <c r="FK456" s="53"/>
      <c r="FL456" s="53"/>
      <c r="FM456" s="53"/>
      <c r="FN456" s="53"/>
      <c r="FO456" s="53"/>
      <c r="FP456" s="53"/>
      <c r="FQ456" s="53"/>
      <c r="FR456" s="53"/>
      <c r="FS456" s="53"/>
      <c r="FT456" s="53"/>
      <c r="FU456" s="53"/>
      <c r="FV456" s="53"/>
      <c r="FW456" s="53"/>
      <c r="FX456" s="53"/>
      <c r="FY456" s="53"/>
      <c r="FZ456" s="53"/>
      <c r="GA456" s="53"/>
      <c r="GB456" s="53"/>
      <c r="GC456" s="53"/>
      <c r="GD456" s="53"/>
      <c r="GE456" s="53"/>
      <c r="GF456" s="53"/>
      <c r="GG456" s="53"/>
      <c r="GH456" s="53"/>
      <c r="GI456" s="53"/>
      <c r="GJ456" s="53"/>
      <c r="GK456" s="53"/>
      <c r="GL456" s="53"/>
      <c r="GM456" s="53"/>
      <c r="GN456" s="53"/>
      <c r="GO456" s="53"/>
      <c r="GP456" s="53"/>
    </row>
    <row r="457" spans="1:198" s="19" customFormat="1" ht="13.8" x14ac:dyDescent="0.25">
      <c r="A457" s="53"/>
      <c r="B457" s="53"/>
      <c r="C457" s="135" t="str">
        <f>poste_order(C457)</f>
        <v>P1</v>
      </c>
      <c r="D457" s="135" t="str">
        <f t="shared" ref="D457:D459" si="127">VLOOKUP(C457,$C$172:$M$182,2,FALSE)</f>
        <v>Caroube</v>
      </c>
      <c r="E457" s="135">
        <f t="shared" ref="E457:E459" si="128">VLOOKUP(C457,$C$172:$M$182,6,FALSE)</f>
        <v>7500</v>
      </c>
      <c r="F457" s="136">
        <f t="shared" ref="F457:F459" si="129">VLOOKUP(C457,$C$172:$M$182,10,FALSE)</f>
        <v>9.3244897959183657</v>
      </c>
      <c r="G457" s="136">
        <f>VLOOKUP(C457,$A$237:$M$242,2,FALSE)</f>
        <v>59</v>
      </c>
      <c r="H457" s="136">
        <f>VLOOKUP(D457,'Calcul Hyd'!$C$3:$T$5,3,FALSE)</f>
        <v>7</v>
      </c>
      <c r="I457" s="136">
        <f>VLOOKUP(D457,'Calcul Hyd'!$C$3:$T$5,9,FALSE)</f>
        <v>3.5</v>
      </c>
      <c r="J457" s="138">
        <f>VLOOKUP(D457,'Calcul Hyd'!$C$3:$T$5,5,FALSE)</f>
        <v>2</v>
      </c>
      <c r="K457" s="138">
        <f t="shared" ref="K457" si="130">(G457/H457)*J457</f>
        <v>16.857142857142858</v>
      </c>
      <c r="L457" s="137">
        <f>ROUNDUP(E457*J457/(H457*I457),0)</f>
        <v>613</v>
      </c>
      <c r="M457" s="139">
        <f>IF((VLOOKUP(C457,$A$216:$K$226,7,0))&lt;15,16,IF((VLOOKUP(C457,$A$216:$K$226,7,0))&lt;18,20,25))</f>
        <v>16</v>
      </c>
      <c r="N457" s="217">
        <f>ROUNDUP(L457*I457,0)</f>
        <v>2146</v>
      </c>
      <c r="O457" s="158"/>
      <c r="V457" s="158"/>
      <c r="W457" s="172"/>
      <c r="X457" s="172"/>
      <c r="AR457" s="53"/>
      <c r="AS457" s="53"/>
      <c r="AT457" s="53"/>
      <c r="AU457" s="53"/>
      <c r="AV457" s="53"/>
      <c r="AW457" s="53"/>
      <c r="AX457" s="53"/>
      <c r="AY457" s="53"/>
      <c r="AZ457" s="53"/>
      <c r="BA457" s="53"/>
      <c r="BB457" s="53"/>
      <c r="BC457" s="53"/>
      <c r="BD457" s="53"/>
      <c r="BE457" s="53"/>
      <c r="BF457" s="53"/>
      <c r="BG457" s="53"/>
      <c r="BH457" s="53"/>
      <c r="BI457" s="53"/>
      <c r="BJ457" s="53"/>
      <c r="BK457" s="53"/>
      <c r="BL457" s="53"/>
      <c r="BM457" s="53"/>
      <c r="BN457" s="53"/>
      <c r="BO457" s="53"/>
      <c r="BP457" s="53"/>
      <c r="BQ457" s="53"/>
      <c r="BR457" s="53"/>
      <c r="BS457" s="53"/>
      <c r="BT457" s="53"/>
      <c r="BU457" s="53"/>
      <c r="BV457" s="53"/>
      <c r="BW457" s="53"/>
      <c r="BX457" s="53"/>
      <c r="BY457" s="53"/>
      <c r="BZ457" s="53"/>
      <c r="CA457" s="53"/>
      <c r="CB457" s="53"/>
      <c r="CC457" s="53"/>
      <c r="CD457" s="53"/>
      <c r="CE457" s="53"/>
      <c r="CF457" s="53"/>
      <c r="CG457" s="53"/>
      <c r="CH457" s="53"/>
      <c r="CI457" s="53"/>
      <c r="CJ457" s="53"/>
      <c r="CK457" s="53"/>
      <c r="CL457" s="53"/>
      <c r="CM457" s="53"/>
      <c r="CN457" s="53"/>
      <c r="CO457" s="53"/>
      <c r="CP457" s="53"/>
      <c r="CQ457" s="53"/>
      <c r="CR457" s="53"/>
      <c r="CS457" s="53"/>
      <c r="CT457" s="53"/>
      <c r="CU457" s="53"/>
      <c r="CV457" s="53"/>
      <c r="CW457" s="53"/>
      <c r="CX457" s="53"/>
      <c r="CY457" s="53"/>
      <c r="CZ457" s="53"/>
      <c r="DA457" s="53"/>
      <c r="DB457" s="53"/>
      <c r="DC457" s="53"/>
      <c r="DD457" s="53"/>
      <c r="DE457" s="53"/>
      <c r="DF457" s="53"/>
      <c r="DG457" s="53"/>
      <c r="DH457" s="53"/>
      <c r="DI457" s="53"/>
      <c r="DJ457" s="53"/>
      <c r="DK457" s="53"/>
      <c r="DL457" s="53"/>
      <c r="DM457" s="53"/>
      <c r="DN457" s="53"/>
      <c r="DO457" s="53"/>
      <c r="DP457" s="53"/>
      <c r="DQ457" s="53"/>
      <c r="DR457" s="53"/>
      <c r="DS457" s="53"/>
      <c r="DT457" s="53"/>
      <c r="DU457" s="53"/>
      <c r="DV457" s="53"/>
      <c r="DW457" s="53"/>
      <c r="DX457" s="53"/>
      <c r="DY457" s="53"/>
      <c r="DZ457" s="53"/>
      <c r="EA457" s="53"/>
      <c r="EB457" s="53"/>
      <c r="EC457" s="53"/>
      <c r="ED457" s="53"/>
      <c r="EE457" s="53"/>
      <c r="EF457" s="53"/>
      <c r="EG457" s="53"/>
      <c r="EH457" s="53"/>
      <c r="EI457" s="53"/>
      <c r="EJ457" s="53"/>
      <c r="EK457" s="53"/>
      <c r="EL457" s="53"/>
      <c r="EM457" s="53"/>
      <c r="EN457" s="53"/>
      <c r="EO457" s="53"/>
      <c r="EP457" s="53"/>
      <c r="EQ457" s="53"/>
      <c r="ER457" s="53"/>
      <c r="ES457" s="53"/>
      <c r="ET457" s="53"/>
      <c r="EU457" s="53"/>
      <c r="EV457" s="53"/>
      <c r="EW457" s="53"/>
      <c r="EX457" s="53"/>
      <c r="EY457" s="53"/>
      <c r="EZ457" s="53"/>
      <c r="FA457" s="53"/>
      <c r="FB457" s="53"/>
      <c r="FC457" s="53"/>
      <c r="FD457" s="53"/>
      <c r="FE457" s="53"/>
      <c r="FF457" s="53"/>
      <c r="FG457" s="53"/>
      <c r="FH457" s="53"/>
      <c r="FI457" s="53"/>
      <c r="FJ457" s="53"/>
      <c r="FK457" s="53"/>
      <c r="FL457" s="53"/>
      <c r="FM457" s="53"/>
      <c r="FN457" s="53"/>
      <c r="FO457" s="53"/>
      <c r="FP457" s="53"/>
      <c r="FQ457" s="53"/>
      <c r="FR457" s="53"/>
      <c r="FS457" s="53"/>
      <c r="FT457" s="53"/>
      <c r="FU457" s="53"/>
      <c r="FV457" s="53"/>
      <c r="FW457" s="53"/>
      <c r="FX457" s="53"/>
      <c r="FY457" s="53"/>
      <c r="FZ457" s="53"/>
      <c r="GA457" s="53"/>
      <c r="GB457" s="53"/>
      <c r="GC457" s="53"/>
      <c r="GD457" s="53"/>
      <c r="GE457" s="53"/>
      <c r="GF457" s="53"/>
      <c r="GG457" s="53"/>
      <c r="GH457" s="53"/>
      <c r="GI457" s="53"/>
      <c r="GJ457" s="53"/>
      <c r="GK457" s="53"/>
      <c r="GL457" s="53"/>
      <c r="GM457" s="53"/>
      <c r="GN457" s="53"/>
      <c r="GO457" s="53"/>
      <c r="GP457" s="53"/>
    </row>
    <row r="458" spans="1:198" s="19" customFormat="1" ht="13.8" x14ac:dyDescent="0.25">
      <c r="A458" s="53"/>
      <c r="B458" s="53"/>
      <c r="C458" s="135" t="str">
        <f t="shared" ref="C458:C460" si="131">poste_order(C458)</f>
        <v>P2</v>
      </c>
      <c r="D458" s="135" t="str">
        <f t="shared" si="127"/>
        <v>Olivier</v>
      </c>
      <c r="E458" s="135">
        <f t="shared" si="128"/>
        <v>7000</v>
      </c>
      <c r="F458" s="136">
        <f t="shared" si="129"/>
        <v>11.845555555555556</v>
      </c>
      <c r="G458" s="136">
        <f>VLOOKUP(C458,$A$237:$M$242,2,FALSE)</f>
        <v>64</v>
      </c>
      <c r="H458" s="136">
        <f>VLOOKUP(D458,'Calcul Hyd'!$C$3:$T$5,3,FALSE)</f>
        <v>6</v>
      </c>
      <c r="I458" s="136">
        <f>VLOOKUP(D458,'Calcul Hyd'!$C$3:$T$5,9,FALSE)</f>
        <v>3</v>
      </c>
      <c r="J458" s="138">
        <f>VLOOKUP(D458,'Calcul Hyd'!$C$3:$T$5,5,FALSE)</f>
        <v>2</v>
      </c>
      <c r="K458" s="138">
        <f t="shared" ref="K458:K459" si="132">(G458/H458)*J458</f>
        <v>21.333333333333332</v>
      </c>
      <c r="L458" s="137">
        <f t="shared" ref="L458:L459" si="133">ROUNDUP(E458*J458/(H458*I458),0)</f>
        <v>778</v>
      </c>
      <c r="M458" s="139">
        <f>IF((VLOOKUP(C458,$A$216:$K$226,7,0))&lt;15,16,IF((VLOOKUP(C458,$A$216:$K$226,7,0))&lt;18,20,25))</f>
        <v>16</v>
      </c>
      <c r="N458" s="217">
        <f t="shared" ref="N458:N459" si="134">ROUNDUP(L458*I458,0)</f>
        <v>2334</v>
      </c>
      <c r="O458" s="158"/>
      <c r="V458" s="158"/>
      <c r="W458" s="172"/>
      <c r="X458" s="172"/>
      <c r="AR458" s="53"/>
      <c r="AS458" s="53"/>
      <c r="AT458" s="53"/>
      <c r="AU458" s="53"/>
      <c r="AV458" s="53"/>
      <c r="AW458" s="53"/>
      <c r="AX458" s="53"/>
      <c r="AY458" s="53"/>
      <c r="AZ458" s="53"/>
      <c r="BA458" s="53"/>
      <c r="BB458" s="53"/>
      <c r="BC458" s="53"/>
      <c r="BD458" s="53"/>
      <c r="BE458" s="53"/>
      <c r="BF458" s="53"/>
      <c r="BG458" s="53"/>
      <c r="BH458" s="53"/>
      <c r="BI458" s="53"/>
      <c r="BJ458" s="53"/>
      <c r="BK458" s="53"/>
      <c r="BL458" s="53"/>
      <c r="BM458" s="53"/>
      <c r="BN458" s="53"/>
      <c r="BO458" s="53"/>
      <c r="BP458" s="53"/>
      <c r="BQ458" s="53"/>
      <c r="BR458" s="53"/>
      <c r="BS458" s="53"/>
      <c r="BT458" s="53"/>
      <c r="BU458" s="53"/>
      <c r="BV458" s="53"/>
      <c r="BW458" s="53"/>
      <c r="BX458" s="53"/>
      <c r="BY458" s="53"/>
      <c r="BZ458" s="53"/>
      <c r="CA458" s="53"/>
      <c r="CB458" s="53"/>
      <c r="CC458" s="53"/>
      <c r="CD458" s="53"/>
      <c r="CE458" s="53"/>
      <c r="CF458" s="53"/>
      <c r="CG458" s="53"/>
      <c r="CH458" s="53"/>
      <c r="CI458" s="53"/>
      <c r="CJ458" s="53"/>
      <c r="CK458" s="53"/>
      <c r="CL458" s="53"/>
      <c r="CM458" s="53"/>
      <c r="CN458" s="53"/>
      <c r="CO458" s="53"/>
      <c r="CP458" s="53"/>
      <c r="CQ458" s="53"/>
      <c r="CR458" s="53"/>
      <c r="CS458" s="53"/>
      <c r="CT458" s="53"/>
      <c r="CU458" s="53"/>
      <c r="CV458" s="53"/>
      <c r="CW458" s="53"/>
      <c r="CX458" s="53"/>
      <c r="CY458" s="53"/>
      <c r="CZ458" s="53"/>
      <c r="DA458" s="53"/>
      <c r="DB458" s="53"/>
      <c r="DC458" s="53"/>
      <c r="DD458" s="53"/>
      <c r="DE458" s="53"/>
      <c r="DF458" s="53"/>
      <c r="DG458" s="53"/>
      <c r="DH458" s="53"/>
      <c r="DI458" s="53"/>
      <c r="DJ458" s="53"/>
      <c r="DK458" s="53"/>
      <c r="DL458" s="53"/>
      <c r="DM458" s="53"/>
      <c r="DN458" s="53"/>
      <c r="DO458" s="53"/>
      <c r="DP458" s="53"/>
      <c r="DQ458" s="53"/>
      <c r="DR458" s="53"/>
      <c r="DS458" s="53"/>
      <c r="DT458" s="53"/>
      <c r="DU458" s="53"/>
      <c r="DV458" s="53"/>
      <c r="DW458" s="53"/>
      <c r="DX458" s="53"/>
      <c r="DY458" s="53"/>
      <c r="DZ458" s="53"/>
      <c r="EA458" s="53"/>
      <c r="EB458" s="53"/>
      <c r="EC458" s="53"/>
      <c r="ED458" s="53"/>
      <c r="EE458" s="53"/>
      <c r="EF458" s="53"/>
      <c r="EG458" s="53"/>
      <c r="EH458" s="53"/>
      <c r="EI458" s="53"/>
      <c r="EJ458" s="53"/>
      <c r="EK458" s="53"/>
      <c r="EL458" s="53"/>
      <c r="EM458" s="53"/>
      <c r="EN458" s="53"/>
      <c r="EO458" s="53"/>
      <c r="EP458" s="53"/>
      <c r="EQ458" s="53"/>
      <c r="ER458" s="53"/>
      <c r="ES458" s="53"/>
      <c r="ET458" s="53"/>
      <c r="EU458" s="53"/>
      <c r="EV458" s="53"/>
      <c r="EW458" s="53"/>
      <c r="EX458" s="53"/>
      <c r="EY458" s="53"/>
      <c r="EZ458" s="53"/>
      <c r="FA458" s="53"/>
      <c r="FB458" s="53"/>
      <c r="FC458" s="53"/>
      <c r="FD458" s="53"/>
      <c r="FE458" s="53"/>
      <c r="FF458" s="53"/>
      <c r="FG458" s="53"/>
      <c r="FH458" s="53"/>
      <c r="FI458" s="53"/>
      <c r="FJ458" s="53"/>
      <c r="FK458" s="53"/>
      <c r="FL458" s="53"/>
      <c r="FM458" s="53"/>
      <c r="FN458" s="53"/>
      <c r="FO458" s="53"/>
      <c r="FP458" s="53"/>
      <c r="FQ458" s="53"/>
      <c r="FR458" s="53"/>
      <c r="FS458" s="53"/>
      <c r="FT458" s="53"/>
      <c r="FU458" s="53"/>
      <c r="FV458" s="53"/>
      <c r="FW458" s="53"/>
      <c r="FX458" s="53"/>
      <c r="FY458" s="53"/>
      <c r="FZ458" s="53"/>
      <c r="GA458" s="53"/>
      <c r="GB458" s="53"/>
      <c r="GC458" s="53"/>
      <c r="GD458" s="53"/>
      <c r="GE458" s="53"/>
      <c r="GF458" s="53"/>
      <c r="GG458" s="53"/>
      <c r="GH458" s="53"/>
      <c r="GI458" s="53"/>
      <c r="GJ458" s="53"/>
      <c r="GK458" s="53"/>
      <c r="GL458" s="53"/>
      <c r="GM458" s="53"/>
      <c r="GN458" s="53"/>
      <c r="GO458" s="53"/>
      <c r="GP458" s="53"/>
    </row>
    <row r="459" spans="1:198" s="19" customFormat="1" ht="13.8" x14ac:dyDescent="0.25">
      <c r="A459" s="53"/>
      <c r="B459" s="53"/>
      <c r="C459" s="135" t="str">
        <f t="shared" si="131"/>
        <v>P3</v>
      </c>
      <c r="D459" s="135" t="str">
        <f t="shared" si="127"/>
        <v>Caroube</v>
      </c>
      <c r="E459" s="135">
        <f t="shared" si="128"/>
        <v>7400</v>
      </c>
      <c r="F459" s="136">
        <f t="shared" si="129"/>
        <v>9.2001632653061236</v>
      </c>
      <c r="G459" s="136">
        <f>VLOOKUP(C459,$A$237:$M$242,2,FALSE)</f>
        <v>65</v>
      </c>
      <c r="H459" s="136">
        <f>VLOOKUP(D459,'Calcul Hyd'!$C$3:$T$5,3,FALSE)</f>
        <v>7</v>
      </c>
      <c r="I459" s="136">
        <f>VLOOKUP(D459,'Calcul Hyd'!$C$3:$T$5,9,FALSE)</f>
        <v>3.5</v>
      </c>
      <c r="J459" s="138">
        <f>VLOOKUP(D459,'Calcul Hyd'!$C$3:$T$5,5,FALSE)</f>
        <v>2</v>
      </c>
      <c r="K459" s="138">
        <f t="shared" si="132"/>
        <v>18.571428571428573</v>
      </c>
      <c r="L459" s="137">
        <f t="shared" si="133"/>
        <v>605</v>
      </c>
      <c r="M459" s="139">
        <f>IF((VLOOKUP(C459,$A$216:$K$226,7,0))&lt;15,16,IF((VLOOKUP(C459,$A$216:$K$226,7,0))&lt;18,20,25))</f>
        <v>16</v>
      </c>
      <c r="N459" s="217">
        <f t="shared" si="134"/>
        <v>2118</v>
      </c>
      <c r="O459" s="158"/>
      <c r="V459" s="158"/>
      <c r="W459" s="172"/>
      <c r="X459" s="172"/>
      <c r="AR459" s="53"/>
      <c r="AS459" s="53"/>
      <c r="AT459" s="53"/>
      <c r="AU459" s="53"/>
      <c r="AV459" s="53"/>
      <c r="AW459" s="53"/>
      <c r="AX459" s="53"/>
      <c r="AY459" s="53"/>
      <c r="AZ459" s="53"/>
      <c r="BA459" s="53"/>
      <c r="BB459" s="53"/>
      <c r="BC459" s="53"/>
      <c r="BD459" s="53"/>
      <c r="BE459" s="53"/>
      <c r="BF459" s="53"/>
      <c r="BG459" s="53"/>
      <c r="BH459" s="53"/>
      <c r="BI459" s="53"/>
      <c r="BJ459" s="53"/>
      <c r="BK459" s="53"/>
      <c r="BL459" s="53"/>
      <c r="BM459" s="53"/>
      <c r="BN459" s="53"/>
      <c r="BO459" s="53"/>
      <c r="BP459" s="53"/>
      <c r="BQ459" s="53"/>
      <c r="BR459" s="53"/>
      <c r="BS459" s="53"/>
      <c r="BT459" s="53"/>
      <c r="BU459" s="53"/>
      <c r="BV459" s="53"/>
      <c r="BW459" s="53"/>
      <c r="BX459" s="53"/>
      <c r="BY459" s="53"/>
      <c r="BZ459" s="53"/>
      <c r="CA459" s="53"/>
      <c r="CB459" s="53"/>
      <c r="CC459" s="53"/>
      <c r="CD459" s="53"/>
      <c r="CE459" s="53"/>
      <c r="CF459" s="53"/>
      <c r="CG459" s="53"/>
      <c r="CH459" s="53"/>
      <c r="CI459" s="53"/>
      <c r="CJ459" s="53"/>
      <c r="CK459" s="53"/>
      <c r="CL459" s="53"/>
      <c r="CM459" s="53"/>
      <c r="CN459" s="53"/>
      <c r="CO459" s="53"/>
      <c r="CP459" s="53"/>
      <c r="CQ459" s="53"/>
      <c r="CR459" s="53"/>
      <c r="CS459" s="53"/>
      <c r="CT459" s="53"/>
      <c r="CU459" s="53"/>
      <c r="CV459" s="53"/>
      <c r="CW459" s="53"/>
      <c r="CX459" s="53"/>
      <c r="CY459" s="53"/>
      <c r="CZ459" s="53"/>
      <c r="DA459" s="53"/>
      <c r="DB459" s="53"/>
      <c r="DC459" s="53"/>
      <c r="DD459" s="53"/>
      <c r="DE459" s="53"/>
      <c r="DF459" s="53"/>
      <c r="DG459" s="53"/>
      <c r="DH459" s="53"/>
      <c r="DI459" s="53"/>
      <c r="DJ459" s="53"/>
      <c r="DK459" s="53"/>
      <c r="DL459" s="53"/>
      <c r="DM459" s="53"/>
      <c r="DN459" s="53"/>
      <c r="DO459" s="53"/>
      <c r="DP459" s="53"/>
      <c r="DQ459" s="53"/>
      <c r="DR459" s="53"/>
      <c r="DS459" s="53"/>
      <c r="DT459" s="53"/>
      <c r="DU459" s="53"/>
      <c r="DV459" s="53"/>
      <c r="DW459" s="53"/>
      <c r="DX459" s="53"/>
      <c r="DY459" s="53"/>
      <c r="DZ459" s="53"/>
      <c r="EA459" s="53"/>
      <c r="EB459" s="53"/>
      <c r="EC459" s="53"/>
      <c r="ED459" s="53"/>
      <c r="EE459" s="53"/>
      <c r="EF459" s="53"/>
      <c r="EG459" s="53"/>
      <c r="EH459" s="53"/>
      <c r="EI459" s="53"/>
      <c r="EJ459" s="53"/>
      <c r="EK459" s="53"/>
      <c r="EL459" s="53"/>
      <c r="EM459" s="53"/>
      <c r="EN459" s="53"/>
      <c r="EO459" s="53"/>
      <c r="EP459" s="53"/>
      <c r="EQ459" s="53"/>
      <c r="ER459" s="53"/>
      <c r="ES459" s="53"/>
      <c r="ET459" s="53"/>
      <c r="EU459" s="53"/>
      <c r="EV459" s="53"/>
      <c r="EW459" s="53"/>
      <c r="EX459" s="53"/>
      <c r="EY459" s="53"/>
      <c r="EZ459" s="53"/>
      <c r="FA459" s="53"/>
      <c r="FB459" s="53"/>
      <c r="FC459" s="53"/>
      <c r="FD459" s="53"/>
      <c r="FE459" s="53"/>
      <c r="FF459" s="53"/>
      <c r="FG459" s="53"/>
      <c r="FH459" s="53"/>
      <c r="FI459" s="53"/>
      <c r="FJ459" s="53"/>
      <c r="FK459" s="53"/>
      <c r="FL459" s="53"/>
      <c r="FM459" s="53"/>
      <c r="FN459" s="53"/>
      <c r="FO459" s="53"/>
      <c r="FP459" s="53"/>
      <c r="FQ459" s="53"/>
      <c r="FR459" s="53"/>
      <c r="FS459" s="53"/>
      <c r="FT459" s="53"/>
      <c r="FU459" s="53"/>
      <c r="FV459" s="53"/>
      <c r="FW459" s="53"/>
      <c r="FX459" s="53"/>
      <c r="FY459" s="53"/>
      <c r="FZ459" s="53"/>
      <c r="GA459" s="53"/>
      <c r="GB459" s="53"/>
      <c r="GC459" s="53"/>
      <c r="GD459" s="53"/>
      <c r="GE459" s="53"/>
      <c r="GF459" s="53"/>
      <c r="GG459" s="53"/>
      <c r="GH459" s="53"/>
      <c r="GI459" s="53"/>
      <c r="GJ459" s="53"/>
      <c r="GK459" s="53"/>
      <c r="GL459" s="53"/>
      <c r="GM459" s="53"/>
      <c r="GN459" s="53"/>
      <c r="GO459" s="53"/>
      <c r="GP459" s="53"/>
    </row>
    <row r="460" spans="1:198" s="19" customFormat="1" ht="13.8" x14ac:dyDescent="0.25">
      <c r="A460" s="53"/>
      <c r="B460" s="53"/>
      <c r="C460" s="135" t="str">
        <f t="shared" si="131"/>
        <v>P4</v>
      </c>
      <c r="D460" s="135" t="str">
        <f t="shared" ref="D460" si="135">VLOOKUP(C460,$C$172:$M$182,2,FALSE)</f>
        <v>Olivier</v>
      </c>
      <c r="E460" s="135">
        <f t="shared" ref="E460" si="136">VLOOKUP(C460,$C$172:$M$182,6,FALSE)</f>
        <v>7400</v>
      </c>
      <c r="F460" s="136">
        <f t="shared" ref="F460" si="137">VLOOKUP(C460,$C$172:$M$182,10,FALSE)</f>
        <v>12.522444444444444</v>
      </c>
      <c r="G460" s="136">
        <f>VLOOKUP(C460,$A$237:$M$242,2,FALSE)</f>
        <v>66</v>
      </c>
      <c r="H460" s="136">
        <f>VLOOKUP(D460,'Calcul Hyd'!$C$3:$T$5,3,FALSE)</f>
        <v>6</v>
      </c>
      <c r="I460" s="136">
        <f>VLOOKUP(D460,'Calcul Hyd'!$C$3:$T$5,9,FALSE)</f>
        <v>3</v>
      </c>
      <c r="J460" s="138">
        <f>VLOOKUP(D460,'Calcul Hyd'!$C$3:$T$5,5,FALSE)</f>
        <v>2</v>
      </c>
      <c r="K460" s="138">
        <f t="shared" ref="K460" si="138">(G460/H460)*J460</f>
        <v>22</v>
      </c>
      <c r="L460" s="137">
        <f t="shared" ref="L460" si="139">ROUNDUP(E460*J460/(H460*I460),0)</f>
        <v>823</v>
      </c>
      <c r="M460" s="139">
        <f>IF((VLOOKUP(C460,$A$216:$K$226,7,0))&lt;15,16,IF((VLOOKUP(C460,$A$216:$K$226,7,0))&lt;18,20,25))</f>
        <v>16</v>
      </c>
      <c r="N460" s="217">
        <f t="shared" ref="N460" si="140">ROUNDUP(L460*I460,0)</f>
        <v>2469</v>
      </c>
      <c r="O460" s="158"/>
      <c r="V460" s="158"/>
      <c r="W460" s="172"/>
      <c r="X460" s="172"/>
      <c r="AR460" s="53"/>
      <c r="AS460" s="53"/>
      <c r="AT460" s="53"/>
      <c r="AU460" s="53"/>
      <c r="AV460" s="53"/>
      <c r="AW460" s="53"/>
      <c r="AX460" s="53"/>
      <c r="AY460" s="53"/>
      <c r="AZ460" s="53"/>
      <c r="BA460" s="53"/>
      <c r="BB460" s="53"/>
      <c r="BC460" s="53"/>
      <c r="BD460" s="53"/>
      <c r="BE460" s="53"/>
      <c r="BF460" s="53"/>
      <c r="BG460" s="53"/>
      <c r="BH460" s="53"/>
      <c r="BI460" s="53"/>
      <c r="BJ460" s="53"/>
      <c r="BK460" s="53"/>
      <c r="BL460" s="53"/>
      <c r="BM460" s="53"/>
      <c r="BN460" s="53"/>
      <c r="BO460" s="53"/>
      <c r="BP460" s="53"/>
      <c r="BQ460" s="53"/>
      <c r="BR460" s="53"/>
      <c r="BS460" s="53"/>
      <c r="BT460" s="53"/>
      <c r="BU460" s="53"/>
      <c r="BV460" s="53"/>
      <c r="BW460" s="53"/>
      <c r="BX460" s="53"/>
      <c r="BY460" s="53"/>
      <c r="BZ460" s="53"/>
      <c r="CA460" s="53"/>
      <c r="CB460" s="53"/>
      <c r="CC460" s="53"/>
      <c r="CD460" s="53"/>
      <c r="CE460" s="53"/>
      <c r="CF460" s="53"/>
      <c r="CG460" s="53"/>
      <c r="CH460" s="53"/>
      <c r="CI460" s="53"/>
      <c r="CJ460" s="53"/>
      <c r="CK460" s="53"/>
      <c r="CL460" s="53"/>
      <c r="CM460" s="53"/>
      <c r="CN460" s="53"/>
      <c r="CO460" s="53"/>
      <c r="CP460" s="53"/>
      <c r="CQ460" s="53"/>
      <c r="CR460" s="53"/>
      <c r="CS460" s="53"/>
      <c r="CT460" s="53"/>
      <c r="CU460" s="53"/>
      <c r="CV460" s="53"/>
      <c r="CW460" s="53"/>
      <c r="CX460" s="53"/>
      <c r="CY460" s="53"/>
      <c r="CZ460" s="53"/>
      <c r="DA460" s="53"/>
      <c r="DB460" s="53"/>
      <c r="DC460" s="53"/>
      <c r="DD460" s="53"/>
      <c r="DE460" s="53"/>
      <c r="DF460" s="53"/>
      <c r="DG460" s="53"/>
      <c r="DH460" s="53"/>
      <c r="DI460" s="53"/>
      <c r="DJ460" s="53"/>
      <c r="DK460" s="53"/>
      <c r="DL460" s="53"/>
      <c r="DM460" s="53"/>
      <c r="DN460" s="53"/>
      <c r="DO460" s="53"/>
      <c r="DP460" s="53"/>
      <c r="DQ460" s="53"/>
      <c r="DR460" s="53"/>
      <c r="DS460" s="53"/>
      <c r="DT460" s="53"/>
      <c r="DU460" s="53"/>
      <c r="DV460" s="53"/>
      <c r="DW460" s="53"/>
      <c r="DX460" s="53"/>
      <c r="DY460" s="53"/>
      <c r="DZ460" s="53"/>
      <c r="EA460" s="53"/>
      <c r="EB460" s="53"/>
      <c r="EC460" s="53"/>
      <c r="ED460" s="53"/>
      <c r="EE460" s="53"/>
      <c r="EF460" s="53"/>
      <c r="EG460" s="53"/>
      <c r="EH460" s="53"/>
      <c r="EI460" s="53"/>
      <c r="EJ460" s="53"/>
      <c r="EK460" s="53"/>
      <c r="EL460" s="53"/>
      <c r="EM460" s="53"/>
      <c r="EN460" s="53"/>
      <c r="EO460" s="53"/>
      <c r="EP460" s="53"/>
      <c r="EQ460" s="53"/>
      <c r="ER460" s="53"/>
      <c r="ES460" s="53"/>
      <c r="ET460" s="53"/>
      <c r="EU460" s="53"/>
      <c r="EV460" s="53"/>
      <c r="EW460" s="53"/>
      <c r="EX460" s="53"/>
      <c r="EY460" s="53"/>
      <c r="EZ460" s="53"/>
      <c r="FA460" s="53"/>
      <c r="FB460" s="53"/>
      <c r="FC460" s="53"/>
      <c r="FD460" s="53"/>
      <c r="FE460" s="53"/>
      <c r="FF460" s="53"/>
      <c r="FG460" s="53"/>
      <c r="FH460" s="53"/>
      <c r="FI460" s="53"/>
      <c r="FJ460" s="53"/>
      <c r="FK460" s="53"/>
      <c r="FL460" s="53"/>
      <c r="FM460" s="53"/>
      <c r="FN460" s="53"/>
      <c r="FO460" s="53"/>
      <c r="FP460" s="53"/>
      <c r="FQ460" s="53"/>
      <c r="FR460" s="53"/>
      <c r="FS460" s="53"/>
      <c r="FT460" s="53"/>
      <c r="FU460" s="53"/>
      <c r="FV460" s="53"/>
      <c r="FW460" s="53"/>
      <c r="FX460" s="53"/>
      <c r="FY460" s="53"/>
      <c r="FZ460" s="53"/>
      <c r="GA460" s="53"/>
      <c r="GB460" s="53"/>
      <c r="GC460" s="53"/>
      <c r="GD460" s="53"/>
      <c r="GE460" s="53"/>
      <c r="GF460" s="53"/>
      <c r="GG460" s="53"/>
      <c r="GH460" s="53"/>
      <c r="GI460" s="53"/>
      <c r="GJ460" s="53"/>
      <c r="GK460" s="53"/>
      <c r="GL460" s="53"/>
      <c r="GM460" s="53"/>
      <c r="GN460" s="53"/>
      <c r="GO460" s="53"/>
      <c r="GP460" s="53"/>
    </row>
    <row r="461" spans="1:198" s="19" customFormat="1" ht="13.8" x14ac:dyDescent="0.25">
      <c r="A461" s="53"/>
      <c r="B461" s="53"/>
      <c r="C461" s="293"/>
      <c r="D461" s="293"/>
      <c r="E461" s="293"/>
      <c r="F461" s="294"/>
      <c r="G461" s="294"/>
      <c r="H461" s="294"/>
      <c r="I461" s="294"/>
      <c r="J461" s="295"/>
      <c r="K461" s="158"/>
      <c r="L461" s="158"/>
      <c r="M461" s="158"/>
      <c r="N461" s="158"/>
      <c r="O461" s="158"/>
      <c r="V461" s="158"/>
      <c r="W461" s="158"/>
      <c r="X461" s="158"/>
      <c r="Y461" s="158"/>
      <c r="Z461" s="158"/>
      <c r="AA461" s="158"/>
      <c r="AB461" s="158"/>
      <c r="AC461" s="158"/>
      <c r="AD461" s="158"/>
      <c r="AE461" s="158"/>
      <c r="AF461" s="158"/>
      <c r="AG461" s="158"/>
      <c r="AH461" s="158"/>
      <c r="AI461" s="158"/>
      <c r="AJ461" s="158"/>
      <c r="AK461" s="158"/>
      <c r="AL461" s="158"/>
      <c r="AM461" s="158"/>
      <c r="AN461" s="158"/>
      <c r="AO461" s="158"/>
      <c r="AP461" s="158"/>
      <c r="AQ461" s="158"/>
      <c r="AR461" s="158"/>
      <c r="AS461" s="158"/>
      <c r="AT461" s="158"/>
      <c r="AU461" s="158"/>
      <c r="AV461" s="158"/>
      <c r="AW461" s="158"/>
      <c r="AX461" s="158"/>
      <c r="AY461" s="53"/>
      <c r="AZ461" s="53"/>
      <c r="BA461" s="53"/>
      <c r="BB461" s="53"/>
      <c r="BC461" s="53"/>
      <c r="BD461" s="53"/>
      <c r="BE461" s="53"/>
      <c r="BF461" s="53"/>
      <c r="BG461" s="53"/>
      <c r="BH461" s="53"/>
      <c r="BI461" s="53"/>
      <c r="BJ461" s="53"/>
      <c r="BK461" s="53"/>
      <c r="BL461" s="53"/>
      <c r="BM461" s="53"/>
      <c r="BN461" s="53"/>
      <c r="BO461" s="53"/>
      <c r="BP461" s="53"/>
      <c r="BQ461" s="53"/>
      <c r="BR461" s="53"/>
      <c r="BS461" s="53"/>
      <c r="BT461" s="53"/>
      <c r="BU461" s="53"/>
      <c r="BV461" s="53"/>
      <c r="BW461" s="53"/>
      <c r="BX461" s="53"/>
      <c r="BY461" s="53"/>
      <c r="BZ461" s="53"/>
      <c r="CA461" s="53"/>
      <c r="CB461" s="53"/>
      <c r="CC461" s="53"/>
      <c r="CD461" s="53"/>
      <c r="CE461" s="53"/>
      <c r="CF461" s="53"/>
      <c r="CG461" s="53"/>
      <c r="CH461" s="53"/>
      <c r="CI461" s="53"/>
      <c r="CJ461" s="53"/>
      <c r="CK461" s="53"/>
      <c r="CL461" s="53"/>
      <c r="CM461" s="53"/>
      <c r="CN461" s="53"/>
      <c r="CO461" s="53"/>
      <c r="CP461" s="53"/>
      <c r="CQ461" s="53"/>
      <c r="CR461" s="53"/>
      <c r="CS461" s="53"/>
      <c r="CT461" s="53"/>
      <c r="CU461" s="53"/>
      <c r="CV461" s="53"/>
      <c r="CW461" s="53"/>
      <c r="CX461" s="53"/>
      <c r="CY461" s="53"/>
      <c r="CZ461" s="53"/>
      <c r="DA461" s="53"/>
      <c r="DB461" s="53"/>
      <c r="DC461" s="53"/>
      <c r="DD461" s="53"/>
      <c r="DE461" s="53"/>
      <c r="DF461" s="53"/>
      <c r="DG461" s="53"/>
      <c r="DH461" s="53"/>
      <c r="DI461" s="53"/>
      <c r="DJ461" s="53"/>
      <c r="DK461" s="53"/>
      <c r="DL461" s="53"/>
      <c r="DM461" s="53"/>
      <c r="DN461" s="53"/>
      <c r="DO461" s="53"/>
      <c r="DP461" s="53"/>
      <c r="DQ461" s="53"/>
      <c r="DR461" s="53"/>
      <c r="DS461" s="53"/>
      <c r="DT461" s="53"/>
      <c r="DU461" s="53"/>
      <c r="DV461" s="53"/>
      <c r="DW461" s="53"/>
      <c r="DX461" s="53"/>
      <c r="DY461" s="53"/>
      <c r="DZ461" s="53"/>
      <c r="EA461" s="53"/>
      <c r="EB461" s="53"/>
      <c r="EC461" s="53"/>
      <c r="ED461" s="53"/>
      <c r="EE461" s="53"/>
      <c r="EF461" s="53"/>
      <c r="EG461" s="53"/>
      <c r="EH461" s="53"/>
      <c r="EI461" s="53"/>
      <c r="EJ461" s="53"/>
      <c r="EK461" s="53"/>
      <c r="EL461" s="53"/>
      <c r="EM461" s="53"/>
      <c r="EN461" s="53"/>
      <c r="EO461" s="53"/>
      <c r="EP461" s="53"/>
      <c r="EQ461" s="53"/>
      <c r="ER461" s="53"/>
      <c r="ES461" s="53"/>
      <c r="ET461" s="53"/>
      <c r="EU461" s="53"/>
      <c r="EV461" s="53"/>
      <c r="EW461" s="53"/>
      <c r="EX461" s="53"/>
      <c r="EY461" s="53"/>
      <c r="EZ461" s="53"/>
      <c r="FA461" s="53"/>
      <c r="FB461" s="53"/>
      <c r="FC461" s="53"/>
      <c r="FD461" s="53"/>
      <c r="FE461" s="53"/>
      <c r="FF461" s="53"/>
      <c r="FG461" s="53"/>
      <c r="FH461" s="53"/>
      <c r="FI461" s="53"/>
      <c r="FJ461" s="53"/>
      <c r="FK461" s="53"/>
      <c r="FL461" s="53"/>
      <c r="FM461" s="53"/>
      <c r="FN461" s="53"/>
      <c r="FO461" s="53"/>
      <c r="FP461" s="53"/>
      <c r="FQ461" s="53"/>
      <c r="FR461" s="53"/>
      <c r="FS461" s="53"/>
      <c r="FT461" s="53"/>
      <c r="FU461" s="53"/>
      <c r="FV461" s="53"/>
      <c r="FW461" s="53"/>
      <c r="FX461" s="53"/>
      <c r="FY461" s="53"/>
      <c r="FZ461" s="53"/>
      <c r="GA461" s="53"/>
      <c r="GB461" s="53"/>
      <c r="GC461" s="53"/>
      <c r="GD461" s="53"/>
      <c r="GE461" s="53"/>
      <c r="GF461" s="53"/>
      <c r="GG461" s="53"/>
      <c r="GH461" s="53"/>
      <c r="GI461" s="53"/>
      <c r="GJ461" s="53"/>
      <c r="GK461" s="53"/>
      <c r="GL461" s="53"/>
      <c r="GM461" s="53"/>
      <c r="GN461" s="53"/>
      <c r="GO461" s="53"/>
      <c r="GP461" s="53"/>
    </row>
    <row r="462" spans="1:198" s="53" customFormat="1" ht="13.8" x14ac:dyDescent="0.25">
      <c r="C462" s="158"/>
      <c r="E462" s="304">
        <f>SUM(E457:E461)</f>
        <v>29300</v>
      </c>
      <c r="F462" s="41"/>
      <c r="G462" s="19"/>
      <c r="H462" s="19"/>
      <c r="I462" s="19"/>
      <c r="J462" s="491" t="str">
        <f>R169</f>
        <v>Olivier</v>
      </c>
      <c r="K462" s="227">
        <f>ROUNDUP((SUMIF($D$456:$D$461,J462,K456:K461)*1.05/100),0)*100</f>
        <v>100</v>
      </c>
      <c r="L462" s="227">
        <f>ROUNDUP((SUMIF($D$456:$D$461,J462,L456:L461)*1.05/500),0)*500</f>
        <v>2000</v>
      </c>
      <c r="M462" s="140">
        <v>20</v>
      </c>
      <c r="N462" s="227">
        <f>ROUNDUP((SUMIF($M$456:$M$461,M462,N456:N461)*1.05/400),0)*400</f>
        <v>0</v>
      </c>
      <c r="O462" s="158"/>
      <c r="V462" s="158"/>
      <c r="W462" s="158"/>
      <c r="X462" s="158"/>
      <c r="Y462" s="158"/>
      <c r="Z462" s="158"/>
      <c r="AA462" s="158"/>
      <c r="AB462" s="158"/>
      <c r="AC462" s="158"/>
      <c r="AD462" s="158"/>
      <c r="AE462" s="158"/>
      <c r="AF462" s="158"/>
      <c r="AG462" s="158"/>
      <c r="AH462" s="158"/>
      <c r="AI462" s="158"/>
      <c r="AJ462" s="158"/>
      <c r="AK462" s="158"/>
      <c r="AL462" s="158"/>
      <c r="AM462" s="158"/>
      <c r="AN462" s="158"/>
      <c r="AO462" s="158"/>
      <c r="AP462" s="158"/>
      <c r="AQ462" s="158"/>
      <c r="AR462" s="158"/>
      <c r="AS462" s="158"/>
      <c r="AT462" s="158"/>
      <c r="AU462" s="158"/>
      <c r="AV462" s="158"/>
      <c r="AW462" s="158"/>
      <c r="AX462" s="158"/>
    </row>
    <row r="463" spans="1:198" s="53" customFormat="1" ht="13.8" x14ac:dyDescent="0.25">
      <c r="C463" s="19"/>
      <c r="E463" s="19"/>
      <c r="F463" s="19"/>
      <c r="G463" s="19"/>
      <c r="H463" s="19"/>
      <c r="I463" s="19"/>
      <c r="J463" s="491" t="str">
        <f>R170</f>
        <v>Caroube</v>
      </c>
      <c r="K463" s="227">
        <f>ROUNDUP((SUMIF($D$456:$D$461,J463,K457:K462)*1.05/400),0)*400</f>
        <v>400</v>
      </c>
      <c r="L463" s="227">
        <f>ROUNDUP((SUMIF($D$456:$D$461,J463,L457:L462)*1.05/500),0)*500</f>
        <v>2000</v>
      </c>
      <c r="M463" s="140">
        <v>16</v>
      </c>
      <c r="N463" s="227">
        <f>ROUNDUP((SUMIF($M$456:$M$461,M463,N456:N461)*1.05/400),0)*400</f>
        <v>9600</v>
      </c>
      <c r="O463" s="158"/>
      <c r="V463" s="158"/>
      <c r="W463" s="172"/>
      <c r="X463" s="172"/>
      <c r="Y463" s="19"/>
      <c r="Z463" s="19"/>
      <c r="AA463" s="19"/>
      <c r="AB463" s="19"/>
      <c r="AC463" s="19"/>
      <c r="AD463" s="19"/>
      <c r="AE463" s="19"/>
      <c r="AF463" s="19"/>
      <c r="AG463" s="19"/>
      <c r="AH463" s="19"/>
      <c r="AI463" s="19"/>
      <c r="AJ463" s="19"/>
      <c r="AK463" s="19"/>
      <c r="AL463" s="19"/>
      <c r="AM463" s="19"/>
      <c r="AN463" s="19"/>
      <c r="AO463" s="19"/>
      <c r="AP463" s="19"/>
      <c r="AQ463" s="19"/>
    </row>
    <row r="464" spans="1:198" s="53" customFormat="1" ht="13.8" x14ac:dyDescent="0.25">
      <c r="C464" s="19"/>
      <c r="O464" s="158"/>
      <c r="V464" s="158"/>
      <c r="W464" s="172"/>
      <c r="X464" s="172"/>
    </row>
    <row r="465" spans="1:198" s="53" customFormat="1" x14ac:dyDescent="0.25">
      <c r="C465" s="640" t="s">
        <v>455</v>
      </c>
      <c r="D465" s="640"/>
      <c r="E465" s="640"/>
      <c r="F465" s="640"/>
      <c r="G465" s="640"/>
      <c r="H465" s="640"/>
      <c r="I465" s="280">
        <f>SUM(N269:N274,B236:B242)</f>
        <v>409</v>
      </c>
      <c r="J465" s="62"/>
      <c r="K465" s="62"/>
      <c r="L465" s="62"/>
      <c r="M465" s="62"/>
      <c r="N465" s="205"/>
      <c r="O465" s="205"/>
      <c r="P465" s="158"/>
      <c r="Q465" s="158"/>
      <c r="R465" s="158"/>
      <c r="S465" s="158"/>
      <c r="T465" s="158"/>
      <c r="U465" s="158"/>
      <c r="V465" s="158"/>
      <c r="W465" s="172"/>
      <c r="X465" s="172"/>
    </row>
    <row r="466" spans="1:198" s="53" customFormat="1" ht="13.8" x14ac:dyDescent="0.25">
      <c r="C466" s="19"/>
      <c r="D466" s="19"/>
      <c r="E466" s="19"/>
      <c r="F466" s="41"/>
      <c r="G466" s="64"/>
      <c r="H466" s="120"/>
      <c r="I466" s="62"/>
      <c r="J466" s="64"/>
      <c r="K466" s="83"/>
      <c r="L466" s="19"/>
      <c r="M466" s="83"/>
      <c r="N466" s="158"/>
      <c r="O466" s="158"/>
      <c r="P466" s="158"/>
      <c r="Q466" s="158"/>
      <c r="R466" s="158"/>
      <c r="S466" s="158"/>
      <c r="T466" s="158"/>
      <c r="U466" s="158"/>
      <c r="V466" s="158"/>
      <c r="W466" s="172"/>
      <c r="X466" s="172"/>
    </row>
    <row r="467" spans="1:198" s="53" customFormat="1" ht="13.8" x14ac:dyDescent="0.25">
      <c r="M467" s="641"/>
      <c r="N467" s="641"/>
      <c r="O467" s="234"/>
      <c r="P467" s="330"/>
      <c r="Q467" s="234"/>
      <c r="R467" s="234"/>
      <c r="S467" s="234"/>
      <c r="T467" s="234"/>
      <c r="U467" s="234"/>
      <c r="V467" s="234"/>
      <c r="W467" s="206"/>
      <c r="X467" s="206"/>
    </row>
    <row r="468" spans="1:198" s="53" customFormat="1" x14ac:dyDescent="0.25">
      <c r="C468" s="221" t="s">
        <v>454</v>
      </c>
      <c r="D468" s="196"/>
      <c r="E468" s="221" t="s">
        <v>488</v>
      </c>
      <c r="F468" s="638" t="s">
        <v>486</v>
      </c>
      <c r="G468" s="638"/>
      <c r="H468" s="639" t="s">
        <v>485</v>
      </c>
      <c r="I468" s="639"/>
      <c r="J468" s="633" t="s">
        <v>487</v>
      </c>
      <c r="K468" s="633"/>
      <c r="N468" s="234"/>
      <c r="O468" s="234"/>
      <c r="P468" s="234"/>
      <c r="Q468" s="234"/>
      <c r="R468" s="234"/>
      <c r="S468" s="234"/>
      <c r="T468" s="234"/>
      <c r="U468" s="234"/>
      <c r="V468" s="234"/>
      <c r="W468" s="206"/>
      <c r="X468" s="206"/>
      <c r="Z468" s="19"/>
      <c r="AA468" s="19"/>
      <c r="AB468" s="19"/>
      <c r="AC468" s="19"/>
      <c r="AD468" s="19"/>
      <c r="AE468" s="19"/>
      <c r="AF468" s="19"/>
      <c r="AG468" s="19"/>
      <c r="AH468" s="19"/>
      <c r="AI468" s="19"/>
      <c r="AJ468" s="19"/>
      <c r="AK468" s="19"/>
      <c r="AL468" s="19"/>
      <c r="AM468" s="19"/>
      <c r="AN468" s="19"/>
      <c r="AO468" s="19"/>
      <c r="AP468" s="19"/>
      <c r="AQ468" s="19"/>
    </row>
    <row r="469" spans="1:198" s="53" customFormat="1" x14ac:dyDescent="0.25">
      <c r="B469" s="5">
        <f t="shared" ref="B469:B477" si="141">E469</f>
        <v>225</v>
      </c>
      <c r="C469" s="280" t="str">
        <f t="shared" ref="C469:C478" si="142">IF(SUMIF($E$263:$G$268,CONCATENATE(E469," mm"),$K$263:$M$268)=0,"",SUMIF($E$263:$G$268,CONCATENATE(E469," mm"),$K$263:$M$268))</f>
        <v/>
      </c>
      <c r="D469" s="335" t="s">
        <v>456</v>
      </c>
      <c r="E469" s="290">
        <f>'Diamétre Interieur'!A13</f>
        <v>225</v>
      </c>
      <c r="F469" s="633">
        <f t="shared" ref="F469:F478" ca="1" si="143">SUMIF($F$269:$G$274,E469,$N$269:$N$274)</f>
        <v>0</v>
      </c>
      <c r="G469" s="633"/>
      <c r="H469" s="632" t="s">
        <v>26</v>
      </c>
      <c r="I469" s="632"/>
      <c r="J469" s="633">
        <f t="shared" ref="J469:J478" si="144">SUMIF($F$339,E469,$C$339)</f>
        <v>0</v>
      </c>
      <c r="K469" s="633"/>
      <c r="L469" s="5">
        <f t="shared" ref="L469:L477" si="145">B469</f>
        <v>225</v>
      </c>
      <c r="M469" s="221">
        <f t="shared" ref="M469:M478" ca="1" si="146">ROUNDUP(SUM(F469:J469)*1.05/6,0)*6</f>
        <v>0</v>
      </c>
      <c r="N469" s="197" t="s">
        <v>35</v>
      </c>
      <c r="O469" s="234"/>
      <c r="P469" s="234"/>
      <c r="Q469" s="234"/>
      <c r="R469" s="234"/>
      <c r="S469" s="234"/>
      <c r="T469" s="234"/>
      <c r="U469" s="234"/>
      <c r="V469" s="234"/>
      <c r="W469" s="206"/>
      <c r="X469" s="206"/>
      <c r="Z469" s="19"/>
      <c r="AA469" s="19"/>
      <c r="AB469" s="19"/>
      <c r="AC469" s="19"/>
      <c r="AD469" s="19"/>
      <c r="AE469" s="19"/>
      <c r="AF469" s="19"/>
      <c r="AG469" s="19"/>
      <c r="AH469" s="19"/>
      <c r="AI469" s="19"/>
      <c r="AJ469" s="19"/>
      <c r="AK469" s="19"/>
      <c r="AL469" s="19"/>
      <c r="AM469" s="19"/>
      <c r="AN469" s="19"/>
      <c r="AO469" s="19"/>
      <c r="AP469" s="19"/>
      <c r="AQ469" s="19"/>
    </row>
    <row r="470" spans="1:198" s="19" customFormat="1" x14ac:dyDescent="0.25">
      <c r="A470" s="53"/>
      <c r="B470" s="5">
        <f t="shared" si="141"/>
        <v>200</v>
      </c>
      <c r="C470" s="280" t="str">
        <f t="shared" si="142"/>
        <v/>
      </c>
      <c r="D470" s="335" t="s">
        <v>456</v>
      </c>
      <c r="E470" s="290">
        <f>'Diamétre Interieur'!A12</f>
        <v>200</v>
      </c>
      <c r="F470" s="633">
        <f t="shared" ca="1" si="143"/>
        <v>0</v>
      </c>
      <c r="G470" s="633"/>
      <c r="H470" s="632" t="s">
        <v>26</v>
      </c>
      <c r="I470" s="632"/>
      <c r="J470" s="633">
        <f t="shared" si="144"/>
        <v>0</v>
      </c>
      <c r="K470" s="633"/>
      <c r="L470" s="5">
        <f t="shared" si="145"/>
        <v>200</v>
      </c>
      <c r="M470" s="221">
        <f t="shared" ca="1" si="146"/>
        <v>0</v>
      </c>
      <c r="N470" s="197" t="s">
        <v>35</v>
      </c>
      <c r="O470" s="234"/>
      <c r="P470" s="158"/>
      <c r="Q470" s="158"/>
      <c r="R470" s="158"/>
      <c r="S470" s="158"/>
      <c r="T470" s="158"/>
      <c r="U470" s="158"/>
      <c r="V470" s="158"/>
      <c r="W470" s="172"/>
      <c r="X470" s="172"/>
      <c r="AR470" s="53"/>
      <c r="AS470" s="53"/>
      <c r="AT470" s="53"/>
      <c r="AU470" s="53"/>
      <c r="AV470" s="53"/>
      <c r="AW470" s="53"/>
      <c r="AX470" s="53"/>
      <c r="AY470" s="53"/>
      <c r="AZ470" s="53"/>
      <c r="BA470" s="53"/>
      <c r="BB470" s="53"/>
      <c r="BC470" s="53"/>
      <c r="BD470" s="53"/>
      <c r="BE470" s="53"/>
      <c r="BF470" s="53"/>
      <c r="BG470" s="53"/>
      <c r="BH470" s="53"/>
      <c r="BI470" s="53"/>
      <c r="BJ470" s="53"/>
      <c r="BK470" s="53"/>
      <c r="BL470" s="53"/>
      <c r="BM470" s="53"/>
      <c r="BN470" s="53"/>
      <c r="BO470" s="53"/>
      <c r="BP470" s="53"/>
      <c r="BQ470" s="53"/>
      <c r="BR470" s="53"/>
      <c r="BS470" s="53"/>
      <c r="BT470" s="53"/>
      <c r="BU470" s="53"/>
      <c r="BV470" s="53"/>
      <c r="BW470" s="53"/>
      <c r="BX470" s="53"/>
      <c r="BY470" s="53"/>
      <c r="BZ470" s="53"/>
      <c r="CA470" s="53"/>
      <c r="CB470" s="53"/>
      <c r="CC470" s="53"/>
      <c r="CD470" s="53"/>
      <c r="CE470" s="53"/>
      <c r="CF470" s="53"/>
      <c r="CG470" s="53"/>
      <c r="CH470" s="53"/>
      <c r="CI470" s="53"/>
      <c r="CJ470" s="53"/>
      <c r="CK470" s="53"/>
      <c r="CL470" s="53"/>
      <c r="CM470" s="53"/>
      <c r="CN470" s="53"/>
      <c r="CO470" s="53"/>
      <c r="CP470" s="53"/>
      <c r="CQ470" s="53"/>
      <c r="CR470" s="53"/>
      <c r="CS470" s="53"/>
      <c r="CT470" s="53"/>
      <c r="CU470" s="53"/>
      <c r="CV470" s="53"/>
      <c r="CW470" s="53"/>
      <c r="CX470" s="53"/>
      <c r="CY470" s="53"/>
      <c r="CZ470" s="53"/>
      <c r="DA470" s="53"/>
      <c r="DB470" s="53"/>
      <c r="DC470" s="53"/>
      <c r="DD470" s="53"/>
      <c r="DE470" s="53"/>
      <c r="DF470" s="53"/>
      <c r="DG470" s="53"/>
      <c r="DH470" s="53"/>
      <c r="DI470" s="53"/>
      <c r="DJ470" s="53"/>
      <c r="DK470" s="53"/>
      <c r="DL470" s="53"/>
      <c r="DM470" s="53"/>
      <c r="DN470" s="53"/>
      <c r="DO470" s="53"/>
      <c r="DP470" s="53"/>
      <c r="DQ470" s="53"/>
      <c r="DR470" s="53"/>
      <c r="DS470" s="53"/>
      <c r="DT470" s="53"/>
      <c r="DU470" s="53"/>
      <c r="DV470" s="53"/>
      <c r="DW470" s="53"/>
      <c r="DX470" s="53"/>
      <c r="DY470" s="53"/>
      <c r="DZ470" s="53"/>
      <c r="EA470" s="53"/>
      <c r="EB470" s="53"/>
      <c r="EC470" s="53"/>
      <c r="ED470" s="53"/>
      <c r="EE470" s="53"/>
      <c r="EF470" s="53"/>
      <c r="EG470" s="53"/>
      <c r="EH470" s="53"/>
      <c r="EI470" s="53"/>
      <c r="EJ470" s="53"/>
      <c r="EK470" s="53"/>
      <c r="EL470" s="53"/>
      <c r="EM470" s="53"/>
      <c r="EN470" s="53"/>
      <c r="EO470" s="53"/>
      <c r="EP470" s="53"/>
      <c r="EQ470" s="53"/>
      <c r="ER470" s="53"/>
      <c r="ES470" s="53"/>
      <c r="ET470" s="53"/>
      <c r="EU470" s="53"/>
      <c r="EV470" s="53"/>
      <c r="EW470" s="53"/>
      <c r="EX470" s="53"/>
      <c r="EY470" s="53"/>
      <c r="EZ470" s="53"/>
      <c r="FA470" s="53"/>
      <c r="FB470" s="53"/>
      <c r="FC470" s="53"/>
      <c r="FD470" s="53"/>
      <c r="FE470" s="53"/>
      <c r="FF470" s="53"/>
      <c r="FG470" s="53"/>
      <c r="FH470" s="53"/>
      <c r="FI470" s="53"/>
      <c r="FJ470" s="53"/>
      <c r="FK470" s="53"/>
      <c r="FL470" s="53"/>
      <c r="FM470" s="53"/>
      <c r="FN470" s="53"/>
      <c r="FO470" s="53"/>
      <c r="FP470" s="53"/>
      <c r="FQ470" s="53"/>
      <c r="FR470" s="53"/>
      <c r="FS470" s="53"/>
      <c r="FT470" s="53"/>
      <c r="FU470" s="53"/>
      <c r="FV470" s="53"/>
      <c r="FW470" s="53"/>
      <c r="FX470" s="53"/>
      <c r="FY470" s="53"/>
      <c r="FZ470" s="53"/>
      <c r="GA470" s="53"/>
      <c r="GB470" s="53"/>
      <c r="GC470" s="53"/>
      <c r="GD470" s="53"/>
      <c r="GE470" s="53"/>
      <c r="GF470" s="53"/>
      <c r="GG470" s="53"/>
      <c r="GH470" s="53"/>
      <c r="GI470" s="53"/>
      <c r="GJ470" s="53"/>
      <c r="GK470" s="53"/>
      <c r="GL470" s="53"/>
      <c r="GM470" s="53"/>
      <c r="GN470" s="53"/>
      <c r="GO470" s="53"/>
      <c r="GP470" s="53"/>
    </row>
    <row r="471" spans="1:198" s="53" customFormat="1" ht="16.2" thickBot="1" x14ac:dyDescent="0.3">
      <c r="B471" s="5">
        <f t="shared" si="141"/>
        <v>160</v>
      </c>
      <c r="C471" s="280" t="str">
        <f t="shared" si="142"/>
        <v/>
      </c>
      <c r="D471" s="335" t="s">
        <v>456</v>
      </c>
      <c r="E471" s="290">
        <f>'Diamétre Interieur'!A11</f>
        <v>160</v>
      </c>
      <c r="F471" s="633">
        <f t="shared" ca="1" si="143"/>
        <v>0</v>
      </c>
      <c r="G471" s="633"/>
      <c r="H471" s="632" t="s">
        <v>26</v>
      </c>
      <c r="I471" s="632"/>
      <c r="J471" s="633">
        <f t="shared" si="144"/>
        <v>0</v>
      </c>
      <c r="K471" s="633"/>
      <c r="L471" s="5">
        <f t="shared" si="145"/>
        <v>160</v>
      </c>
      <c r="M471" s="221">
        <f t="shared" ca="1" si="146"/>
        <v>0</v>
      </c>
      <c r="N471" s="197" t="s">
        <v>35</v>
      </c>
      <c r="O471" s="234"/>
      <c r="P471" s="158"/>
      <c r="Q471" s="158"/>
      <c r="R471" s="158"/>
      <c r="S471" s="158"/>
      <c r="T471" s="158"/>
      <c r="U471" s="158"/>
      <c r="V471" s="158"/>
      <c r="W471" s="172"/>
      <c r="X471" s="172"/>
      <c r="Y471" s="19"/>
      <c r="Z471" s="19"/>
      <c r="AA471" s="19"/>
      <c r="AB471" s="19"/>
      <c r="AC471" s="19"/>
      <c r="AD471" s="19"/>
      <c r="AE471" s="19"/>
      <c r="AF471" s="19"/>
      <c r="AG471" s="19"/>
      <c r="AH471" s="19"/>
      <c r="AI471" s="19"/>
      <c r="AJ471" s="19"/>
      <c r="AK471" s="19"/>
      <c r="AL471" s="19"/>
      <c r="AM471" s="19"/>
      <c r="AN471" s="19"/>
      <c r="AO471" s="19"/>
      <c r="AP471" s="19"/>
      <c r="AQ471" s="19"/>
    </row>
    <row r="472" spans="1:198" s="53" customFormat="1" ht="16.2" thickBot="1" x14ac:dyDescent="0.3">
      <c r="B472" s="5">
        <f t="shared" si="141"/>
        <v>140</v>
      </c>
      <c r="C472" s="280" t="str">
        <f t="shared" si="142"/>
        <v/>
      </c>
      <c r="D472" s="335" t="s">
        <v>456</v>
      </c>
      <c r="E472" s="290">
        <f>'Diamétre Interieur'!A10</f>
        <v>140</v>
      </c>
      <c r="F472" s="633">
        <f t="shared" ca="1" si="143"/>
        <v>0</v>
      </c>
      <c r="G472" s="633"/>
      <c r="H472" s="632" t="s">
        <v>26</v>
      </c>
      <c r="I472" s="632"/>
      <c r="J472" s="633">
        <f t="shared" si="144"/>
        <v>0</v>
      </c>
      <c r="K472" s="633"/>
      <c r="L472" s="5">
        <f t="shared" si="145"/>
        <v>140</v>
      </c>
      <c r="M472" s="221">
        <f t="shared" ca="1" si="146"/>
        <v>0</v>
      </c>
      <c r="N472" s="197" t="s">
        <v>35</v>
      </c>
      <c r="O472" s="694" t="s">
        <v>392</v>
      </c>
      <c r="P472" s="695"/>
      <c r="Q472" s="696"/>
      <c r="R472" s="158"/>
      <c r="S472" s="158"/>
      <c r="T472" s="158"/>
      <c r="U472" s="158"/>
      <c r="V472" s="158"/>
      <c r="W472" s="172"/>
      <c r="X472" s="172"/>
      <c r="Y472" s="19"/>
      <c r="Z472" s="19"/>
      <c r="AA472" s="19"/>
      <c r="AB472" s="19"/>
      <c r="AC472" s="19"/>
      <c r="AD472" s="19"/>
      <c r="AE472" s="19"/>
      <c r="AF472" s="19"/>
      <c r="AG472" s="19"/>
      <c r="AH472" s="19"/>
      <c r="AI472" s="19"/>
      <c r="AJ472" s="19"/>
      <c r="AK472" s="19"/>
      <c r="AL472" s="19"/>
      <c r="AM472" s="19"/>
      <c r="AN472" s="19"/>
      <c r="AO472" s="19"/>
      <c r="AP472" s="19"/>
      <c r="AQ472" s="19"/>
    </row>
    <row r="473" spans="1:198" x14ac:dyDescent="0.3">
      <c r="B473" s="5">
        <f t="shared" si="141"/>
        <v>125</v>
      </c>
      <c r="C473" s="280" t="str">
        <f t="shared" si="142"/>
        <v/>
      </c>
      <c r="D473" s="335" t="s">
        <v>456</v>
      </c>
      <c r="E473" s="290">
        <f>'Diamétre Interieur'!A9</f>
        <v>125</v>
      </c>
      <c r="F473" s="633">
        <f t="shared" ca="1" si="143"/>
        <v>0</v>
      </c>
      <c r="G473" s="633"/>
      <c r="H473" s="632" t="s">
        <v>26</v>
      </c>
      <c r="I473" s="632"/>
      <c r="J473" s="633">
        <f t="shared" si="144"/>
        <v>0</v>
      </c>
      <c r="K473" s="633"/>
      <c r="L473" s="5">
        <f t="shared" si="145"/>
        <v>125</v>
      </c>
      <c r="M473" s="221">
        <f t="shared" ca="1" si="146"/>
        <v>0</v>
      </c>
      <c r="N473" s="197" t="s">
        <v>35</v>
      </c>
      <c r="O473" s="691" t="s">
        <v>393</v>
      </c>
      <c r="P473" s="692"/>
      <c r="Q473" s="492" t="str">
        <f>CONCATENATE(D425," x ",D426)</f>
        <v>23 x 17</v>
      </c>
    </row>
    <row r="474" spans="1:198" x14ac:dyDescent="0.3">
      <c r="B474" s="5">
        <f t="shared" si="141"/>
        <v>110</v>
      </c>
      <c r="C474" s="280" t="str">
        <f t="shared" si="142"/>
        <v/>
      </c>
      <c r="D474" s="335" t="s">
        <v>456</v>
      </c>
      <c r="E474" s="290">
        <f>'Diamétre Interieur'!A8</f>
        <v>110</v>
      </c>
      <c r="F474" s="633">
        <f t="shared" ca="1" si="143"/>
        <v>0</v>
      </c>
      <c r="G474" s="633"/>
      <c r="H474" s="632">
        <f>E242</f>
        <v>0</v>
      </c>
      <c r="I474" s="632"/>
      <c r="J474" s="633">
        <f t="shared" si="144"/>
        <v>0</v>
      </c>
      <c r="K474" s="633"/>
      <c r="L474" s="5">
        <f t="shared" si="145"/>
        <v>110</v>
      </c>
      <c r="M474" s="221">
        <f t="shared" ca="1" si="146"/>
        <v>0</v>
      </c>
      <c r="N474" s="197" t="s">
        <v>35</v>
      </c>
      <c r="O474" s="691" t="s">
        <v>394</v>
      </c>
      <c r="P474" s="692"/>
      <c r="Q474" s="213" t="str">
        <f>CONCATENATE(D433," x ",D434)</f>
        <v>15 x 9</v>
      </c>
    </row>
    <row r="475" spans="1:198" x14ac:dyDescent="0.3">
      <c r="B475" s="5">
        <f t="shared" si="141"/>
        <v>90</v>
      </c>
      <c r="C475" s="280" t="str">
        <f t="shared" si="142"/>
        <v/>
      </c>
      <c r="D475" s="335" t="s">
        <v>456</v>
      </c>
      <c r="E475" s="290">
        <f>'Diamétre Interieur'!A7</f>
        <v>90</v>
      </c>
      <c r="F475" s="633">
        <f t="shared" ca="1" si="143"/>
        <v>155</v>
      </c>
      <c r="G475" s="633"/>
      <c r="H475" s="632">
        <f>F242</f>
        <v>0</v>
      </c>
      <c r="I475" s="632"/>
      <c r="J475" s="633">
        <f t="shared" si="144"/>
        <v>0</v>
      </c>
      <c r="K475" s="633"/>
      <c r="L475" s="5">
        <f t="shared" si="145"/>
        <v>90</v>
      </c>
      <c r="M475" s="221">
        <f t="shared" ca="1" si="146"/>
        <v>168</v>
      </c>
      <c r="N475" s="197" t="s">
        <v>35</v>
      </c>
      <c r="O475" s="691" t="s">
        <v>395</v>
      </c>
      <c r="P475" s="692"/>
      <c r="Q475" s="214">
        <f>D427</f>
        <v>4</v>
      </c>
    </row>
    <row r="476" spans="1:198" x14ac:dyDescent="0.3">
      <c r="B476" s="5">
        <f t="shared" si="141"/>
        <v>75</v>
      </c>
      <c r="C476" s="280" t="str">
        <f t="shared" si="142"/>
        <v/>
      </c>
      <c r="D476" s="335" t="s">
        <v>456</v>
      </c>
      <c r="E476" s="290">
        <f>'Diamétre Interieur'!A6</f>
        <v>75</v>
      </c>
      <c r="F476" s="633">
        <f t="shared" ca="1" si="143"/>
        <v>0</v>
      </c>
      <c r="G476" s="633"/>
      <c r="H476" s="632">
        <f>G242</f>
        <v>0</v>
      </c>
      <c r="I476" s="632"/>
      <c r="J476" s="633">
        <f t="shared" si="144"/>
        <v>20</v>
      </c>
      <c r="K476" s="633"/>
      <c r="L476" s="5">
        <f t="shared" si="145"/>
        <v>75</v>
      </c>
      <c r="M476" s="221">
        <f t="shared" ca="1" si="146"/>
        <v>24</v>
      </c>
      <c r="N476" s="197" t="s">
        <v>35</v>
      </c>
      <c r="O476" s="691" t="s">
        <v>396</v>
      </c>
      <c r="P476" s="692"/>
      <c r="Q476" s="215">
        <f>J424</f>
        <v>1009.3333333333333</v>
      </c>
    </row>
    <row r="477" spans="1:198" x14ac:dyDescent="0.3">
      <c r="B477" s="5">
        <f t="shared" si="141"/>
        <v>63</v>
      </c>
      <c r="C477" s="280">
        <f t="shared" si="142"/>
        <v>4</v>
      </c>
      <c r="D477" s="335" t="s">
        <v>456</v>
      </c>
      <c r="E477" s="290">
        <f>'Diamétre Interieur'!A5</f>
        <v>63</v>
      </c>
      <c r="F477" s="633">
        <f t="shared" ca="1" si="143"/>
        <v>0</v>
      </c>
      <c r="G477" s="633"/>
      <c r="H477" s="632">
        <f>H242</f>
        <v>96</v>
      </c>
      <c r="I477" s="632"/>
      <c r="J477" s="633">
        <f t="shared" si="144"/>
        <v>0</v>
      </c>
      <c r="K477" s="633"/>
      <c r="L477" s="5">
        <f t="shared" si="145"/>
        <v>63</v>
      </c>
      <c r="M477" s="221">
        <f t="shared" ca="1" si="146"/>
        <v>102</v>
      </c>
      <c r="N477" s="197" t="s">
        <v>35</v>
      </c>
      <c r="O477" s="691" t="s">
        <v>397</v>
      </c>
      <c r="P477" s="692"/>
      <c r="Q477" s="215">
        <f>J426</f>
        <v>823.66666666666663</v>
      </c>
    </row>
    <row r="478" spans="1:198" ht="16.2" thickBot="1" x14ac:dyDescent="0.35">
      <c r="B478" s="5">
        <f>E478</f>
        <v>50</v>
      </c>
      <c r="C478" s="280" t="str">
        <f t="shared" si="142"/>
        <v/>
      </c>
      <c r="D478" s="335" t="s">
        <v>456</v>
      </c>
      <c r="E478" s="290">
        <f>'Diamétre Interieur'!A4</f>
        <v>50</v>
      </c>
      <c r="F478" s="633">
        <f t="shared" ca="1" si="143"/>
        <v>0</v>
      </c>
      <c r="G478" s="633"/>
      <c r="H478" s="632">
        <f>I242</f>
        <v>158</v>
      </c>
      <c r="I478" s="632"/>
      <c r="J478" s="633">
        <f t="shared" si="144"/>
        <v>0</v>
      </c>
      <c r="K478" s="633"/>
      <c r="L478" s="5">
        <f>B478</f>
        <v>50</v>
      </c>
      <c r="M478" s="221">
        <f t="shared" ca="1" si="146"/>
        <v>168</v>
      </c>
      <c r="N478" s="197" t="s">
        <v>35</v>
      </c>
      <c r="O478" s="685" t="s">
        <v>398</v>
      </c>
      <c r="P478" s="686"/>
      <c r="Q478" s="216">
        <f>D429</f>
        <v>0.5</v>
      </c>
    </row>
  </sheetData>
  <mergeCells count="617">
    <mergeCell ref="F251:G251"/>
    <mergeCell ref="L251:M251"/>
    <mergeCell ref="C224:D224"/>
    <mergeCell ref="L224:M224"/>
    <mergeCell ref="H264:J264"/>
    <mergeCell ref="B253:C253"/>
    <mergeCell ref="J253:K253"/>
    <mergeCell ref="B254:C254"/>
    <mergeCell ref="D254:E254"/>
    <mergeCell ref="F254:G254"/>
    <mergeCell ref="H254:I254"/>
    <mergeCell ref="J254:K254"/>
    <mergeCell ref="H251:I251"/>
    <mergeCell ref="D251:E251"/>
    <mergeCell ref="K261:M262"/>
    <mergeCell ref="C263:D263"/>
    <mergeCell ref="C261:D262"/>
    <mergeCell ref="B251:C251"/>
    <mergeCell ref="A264:B264"/>
    <mergeCell ref="J251:K251"/>
    <mergeCell ref="C266:D266"/>
    <mergeCell ref="E266:G266"/>
    <mergeCell ref="H266:J266"/>
    <mergeCell ref="K266:M266"/>
    <mergeCell ref="E262:G262"/>
    <mergeCell ref="H263:J263"/>
    <mergeCell ref="E261:J261"/>
    <mergeCell ref="L252:M252"/>
    <mergeCell ref="H255:I255"/>
    <mergeCell ref="J255:K255"/>
    <mergeCell ref="L255:M255"/>
    <mergeCell ref="L253:M253"/>
    <mergeCell ref="F253:G253"/>
    <mergeCell ref="B255:C255"/>
    <mergeCell ref="D255:E255"/>
    <mergeCell ref="F252:G252"/>
    <mergeCell ref="C264:D264"/>
    <mergeCell ref="B252:C252"/>
    <mergeCell ref="L254:M254"/>
    <mergeCell ref="D252:E252"/>
    <mergeCell ref="D253:E253"/>
    <mergeCell ref="A276:A277"/>
    <mergeCell ref="B276:C276"/>
    <mergeCell ref="J276:K276"/>
    <mergeCell ref="L276:M276"/>
    <mergeCell ref="B277:C277"/>
    <mergeCell ref="J277:K277"/>
    <mergeCell ref="F270:G270"/>
    <mergeCell ref="J270:K270"/>
    <mergeCell ref="F255:G255"/>
    <mergeCell ref="E263:G263"/>
    <mergeCell ref="A261:B262"/>
    <mergeCell ref="A265:B265"/>
    <mergeCell ref="C265:D265"/>
    <mergeCell ref="E265:G265"/>
    <mergeCell ref="H265:J265"/>
    <mergeCell ref="K265:M265"/>
    <mergeCell ref="B271:C271"/>
    <mergeCell ref="D271:E271"/>
    <mergeCell ref="F271:G271"/>
    <mergeCell ref="H271:I271"/>
    <mergeCell ref="J271:K271"/>
    <mergeCell ref="A266:B266"/>
    <mergeCell ref="H262:J262"/>
    <mergeCell ref="K264:M264"/>
    <mergeCell ref="B278:C278"/>
    <mergeCell ref="J278:K278"/>
    <mergeCell ref="L278:M278"/>
    <mergeCell ref="B279:C279"/>
    <mergeCell ref="J279:K279"/>
    <mergeCell ref="L279:M279"/>
    <mergeCell ref="B272:C272"/>
    <mergeCell ref="D272:E272"/>
    <mergeCell ref="F272:G272"/>
    <mergeCell ref="H272:I272"/>
    <mergeCell ref="J272:K272"/>
    <mergeCell ref="U236:V236"/>
    <mergeCell ref="C217:D217"/>
    <mergeCell ref="O236:P236"/>
    <mergeCell ref="Q236:R236"/>
    <mergeCell ref="M235:M236"/>
    <mergeCell ref="K235:K236"/>
    <mergeCell ref="L235:L236"/>
    <mergeCell ref="O235:Y235"/>
    <mergeCell ref="C225:D225"/>
    <mergeCell ref="J224:K224"/>
    <mergeCell ref="J220:K220"/>
    <mergeCell ref="L218:M218"/>
    <mergeCell ref="J218:K218"/>
    <mergeCell ref="L220:M220"/>
    <mergeCell ref="O216:O217"/>
    <mergeCell ref="J217:K217"/>
    <mergeCell ref="S236:T236"/>
    <mergeCell ref="J221:K221"/>
    <mergeCell ref="J216:K216"/>
    <mergeCell ref="L216:M216"/>
    <mergeCell ref="J219:K219"/>
    <mergeCell ref="C235:C236"/>
    <mergeCell ref="E235:I235"/>
    <mergeCell ref="L225:M225"/>
    <mergeCell ref="G21:J21"/>
    <mergeCell ref="C27:F27"/>
    <mergeCell ref="G22:J22"/>
    <mergeCell ref="F140:G140"/>
    <mergeCell ref="G26:J26"/>
    <mergeCell ref="G23:J23"/>
    <mergeCell ref="G25:J25"/>
    <mergeCell ref="E90:H90"/>
    <mergeCell ref="F176:G176"/>
    <mergeCell ref="D172:E172"/>
    <mergeCell ref="J101:K101"/>
    <mergeCell ref="G119:H119"/>
    <mergeCell ref="A113:M113"/>
    <mergeCell ref="H147:I147"/>
    <mergeCell ref="B143:E143"/>
    <mergeCell ref="H148:I148"/>
    <mergeCell ref="B83:D83"/>
    <mergeCell ref="C21:F21"/>
    <mergeCell ref="B144:E144"/>
    <mergeCell ref="E117:F117"/>
    <mergeCell ref="G31:J31"/>
    <mergeCell ref="G28:J28"/>
    <mergeCell ref="E102:G102"/>
    <mergeCell ref="B119:C120"/>
    <mergeCell ref="N182:O182"/>
    <mergeCell ref="C220:D220"/>
    <mergeCell ref="B189:G189"/>
    <mergeCell ref="L217:M217"/>
    <mergeCell ref="E188:H188"/>
    <mergeCell ref="F139:G139"/>
    <mergeCell ref="H143:I143"/>
    <mergeCell ref="E120:F120"/>
    <mergeCell ref="G120:H120"/>
    <mergeCell ref="B140:E141"/>
    <mergeCell ref="C219:D219"/>
    <mergeCell ref="B190:G190"/>
    <mergeCell ref="E210:F210"/>
    <mergeCell ref="J182:K182"/>
    <mergeCell ref="A182:E182"/>
    <mergeCell ref="A186:M186"/>
    <mergeCell ref="E216:E217"/>
    <mergeCell ref="H190:K190"/>
    <mergeCell ref="A220:A221"/>
    <mergeCell ref="A205:D205"/>
    <mergeCell ref="A206:M207"/>
    <mergeCell ref="L182:M182"/>
    <mergeCell ref="F182:G182"/>
    <mergeCell ref="L219:M219"/>
    <mergeCell ref="L172:M172"/>
    <mergeCell ref="H175:I175"/>
    <mergeCell ref="H182:I182"/>
    <mergeCell ref="A155:C155"/>
    <mergeCell ref="F146:G146"/>
    <mergeCell ref="A158:C158"/>
    <mergeCell ref="A177:B180"/>
    <mergeCell ref="A172:B175"/>
    <mergeCell ref="A157:C157"/>
    <mergeCell ref="L175:M175"/>
    <mergeCell ref="L173:M173"/>
    <mergeCell ref="L174:M174"/>
    <mergeCell ref="J172:K172"/>
    <mergeCell ref="H174:I174"/>
    <mergeCell ref="D174:E174"/>
    <mergeCell ref="L179:M179"/>
    <mergeCell ref="J174:K174"/>
    <mergeCell ref="D173:E173"/>
    <mergeCell ref="H173:I173"/>
    <mergeCell ref="D177:E177"/>
    <mergeCell ref="L180:M180"/>
    <mergeCell ref="D180:E180"/>
    <mergeCell ref="J180:K180"/>
    <mergeCell ref="J173:K173"/>
    <mergeCell ref="L176:M176"/>
    <mergeCell ref="J177:K177"/>
    <mergeCell ref="L177:M177"/>
    <mergeCell ref="J179:K179"/>
    <mergeCell ref="H179:I179"/>
    <mergeCell ref="J175:K175"/>
    <mergeCell ref="L178:M178"/>
    <mergeCell ref="H177:I177"/>
    <mergeCell ref="D178:E178"/>
    <mergeCell ref="J170:K171"/>
    <mergeCell ref="J178:K178"/>
    <mergeCell ref="H180:I180"/>
    <mergeCell ref="D158:E158"/>
    <mergeCell ref="A181:E181"/>
    <mergeCell ref="J176:K176"/>
    <mergeCell ref="A176:E176"/>
    <mergeCell ref="D175:E175"/>
    <mergeCell ref="A216:A217"/>
    <mergeCell ref="F181:G181"/>
    <mergeCell ref="C216:D216"/>
    <mergeCell ref="J181:K181"/>
    <mergeCell ref="F177:G180"/>
    <mergeCell ref="F172:G175"/>
    <mergeCell ref="D179:E179"/>
    <mergeCell ref="H178:I178"/>
    <mergeCell ref="H172:I172"/>
    <mergeCell ref="F216:F217"/>
    <mergeCell ref="C170:C171"/>
    <mergeCell ref="A170:B171"/>
    <mergeCell ref="E123:F123"/>
    <mergeCell ref="E100:G100"/>
    <mergeCell ref="B97:F97"/>
    <mergeCell ref="B85:D85"/>
    <mergeCell ref="B88:D88"/>
    <mergeCell ref="D156:E156"/>
    <mergeCell ref="G121:H121"/>
    <mergeCell ref="G122:H122"/>
    <mergeCell ref="G123:H123"/>
    <mergeCell ref="E122:F122"/>
    <mergeCell ref="B122:D122"/>
    <mergeCell ref="B117:D117"/>
    <mergeCell ref="E89:H89"/>
    <mergeCell ref="G98:I98"/>
    <mergeCell ref="O168:P168"/>
    <mergeCell ref="P169:P170"/>
    <mergeCell ref="L170:M171"/>
    <mergeCell ref="E118:F118"/>
    <mergeCell ref="H156:I156"/>
    <mergeCell ref="H157:I157"/>
    <mergeCell ref="H158:I158"/>
    <mergeCell ref="F158:G158"/>
    <mergeCell ref="F155:G155"/>
    <mergeCell ref="F141:G141"/>
    <mergeCell ref="H145:I145"/>
    <mergeCell ref="F147:G147"/>
    <mergeCell ref="F157:G157"/>
    <mergeCell ref="H146:I146"/>
    <mergeCell ref="H170:I171"/>
    <mergeCell ref="H141:I141"/>
    <mergeCell ref="D157:E157"/>
    <mergeCell ref="F170:G171"/>
    <mergeCell ref="E121:F121"/>
    <mergeCell ref="F156:G156"/>
    <mergeCell ref="H155:I155"/>
    <mergeCell ref="H140:I140"/>
    <mergeCell ref="F142:G142"/>
    <mergeCell ref="B118:D118"/>
    <mergeCell ref="A1:M2"/>
    <mergeCell ref="H189:K189"/>
    <mergeCell ref="B10:K13"/>
    <mergeCell ref="B116:L116"/>
    <mergeCell ref="B147:E147"/>
    <mergeCell ref="B148:E148"/>
    <mergeCell ref="B139:E139"/>
    <mergeCell ref="F148:G148"/>
    <mergeCell ref="D170:E171"/>
    <mergeCell ref="B90:D90"/>
    <mergeCell ref="B91:D91"/>
    <mergeCell ref="B79:D79"/>
    <mergeCell ref="B82:D82"/>
    <mergeCell ref="D155:E155"/>
    <mergeCell ref="A156:C156"/>
    <mergeCell ref="H176:I176"/>
    <mergeCell ref="B146:E146"/>
    <mergeCell ref="A16:M16"/>
    <mergeCell ref="F143:G143"/>
    <mergeCell ref="E119:F119"/>
    <mergeCell ref="G30:J30"/>
    <mergeCell ref="B89:D89"/>
    <mergeCell ref="G27:J27"/>
    <mergeCell ref="B87:H87"/>
    <mergeCell ref="A3:M3"/>
    <mergeCell ref="H139:I139"/>
    <mergeCell ref="F145:G145"/>
    <mergeCell ref="H142:I142"/>
    <mergeCell ref="H144:I144"/>
    <mergeCell ref="G118:H118"/>
    <mergeCell ref="B145:E145"/>
    <mergeCell ref="B80:D80"/>
    <mergeCell ref="B142:E142"/>
    <mergeCell ref="G117:H117"/>
    <mergeCell ref="B121:D121"/>
    <mergeCell ref="B128:G128"/>
    <mergeCell ref="F144:G144"/>
    <mergeCell ref="B123:D123"/>
    <mergeCell ref="B100:D100"/>
    <mergeCell ref="B102:D102"/>
    <mergeCell ref="B98:F98"/>
    <mergeCell ref="J102:K102"/>
    <mergeCell ref="E88:H88"/>
    <mergeCell ref="E91:H91"/>
    <mergeCell ref="B84:D84"/>
    <mergeCell ref="A40:M40"/>
    <mergeCell ref="E80:H80"/>
    <mergeCell ref="C24:F24"/>
    <mergeCell ref="G24:J24"/>
    <mergeCell ref="B101:D101"/>
    <mergeCell ref="E101:G101"/>
    <mergeCell ref="J100:K100"/>
    <mergeCell ref="A43:M43"/>
    <mergeCell ref="C28:F28"/>
    <mergeCell ref="C31:F31"/>
    <mergeCell ref="A75:M75"/>
    <mergeCell ref="E81:H81"/>
    <mergeCell ref="B81:D81"/>
    <mergeCell ref="C30:F30"/>
    <mergeCell ref="C32:F32"/>
    <mergeCell ref="G32:J32"/>
    <mergeCell ref="C33:F33"/>
    <mergeCell ref="G33:J33"/>
    <mergeCell ref="E79:H79"/>
    <mergeCell ref="C29:J29"/>
    <mergeCell ref="E83:H83"/>
    <mergeCell ref="E84:H84"/>
    <mergeCell ref="G97:I97"/>
    <mergeCell ref="E82:H82"/>
    <mergeCell ref="E85:H85"/>
    <mergeCell ref="A218:A219"/>
    <mergeCell ref="A208:M208"/>
    <mergeCell ref="L181:M181"/>
    <mergeCell ref="H181:I181"/>
    <mergeCell ref="J225:K225"/>
    <mergeCell ref="C218:D218"/>
    <mergeCell ref="L221:M221"/>
    <mergeCell ref="C221:D221"/>
    <mergeCell ref="J235:J236"/>
    <mergeCell ref="A222:A223"/>
    <mergeCell ref="C222:D222"/>
    <mergeCell ref="J222:K222"/>
    <mergeCell ref="L222:M222"/>
    <mergeCell ref="C223:D223"/>
    <mergeCell ref="J223:K223"/>
    <mergeCell ref="L223:M223"/>
    <mergeCell ref="B235:B236"/>
    <mergeCell ref="A224:A225"/>
    <mergeCell ref="A235:A236"/>
    <mergeCell ref="O478:P478"/>
    <mergeCell ref="H427:K427"/>
    <mergeCell ref="H428:I428"/>
    <mergeCell ref="H435:I435"/>
    <mergeCell ref="J435:K435"/>
    <mergeCell ref="J428:K428"/>
    <mergeCell ref="J429:K429"/>
    <mergeCell ref="J430:K430"/>
    <mergeCell ref="J431:K431"/>
    <mergeCell ref="J432:K432"/>
    <mergeCell ref="O477:P477"/>
    <mergeCell ref="H434:I434"/>
    <mergeCell ref="J434:K434"/>
    <mergeCell ref="O472:Q472"/>
    <mergeCell ref="O473:P473"/>
    <mergeCell ref="O476:P476"/>
    <mergeCell ref="O474:P474"/>
    <mergeCell ref="J442:K442"/>
    <mergeCell ref="O475:P475"/>
    <mergeCell ref="J436:K436"/>
    <mergeCell ref="H478:I478"/>
    <mergeCell ref="H469:I469"/>
    <mergeCell ref="H470:I470"/>
    <mergeCell ref="H474:I474"/>
    <mergeCell ref="B354:C354"/>
    <mergeCell ref="J354:K354"/>
    <mergeCell ref="F374:G374"/>
    <mergeCell ref="H374:I374"/>
    <mergeCell ref="H369:I369"/>
    <mergeCell ref="B352:K352"/>
    <mergeCell ref="D440:E440"/>
    <mergeCell ref="B439:C439"/>
    <mergeCell ref="B440:C440"/>
    <mergeCell ref="B428:C428"/>
    <mergeCell ref="D428:E428"/>
    <mergeCell ref="B429:C429"/>
    <mergeCell ref="J424:K424"/>
    <mergeCell ref="H429:I429"/>
    <mergeCell ref="J374:K374"/>
    <mergeCell ref="A374:B375"/>
    <mergeCell ref="D406:H406"/>
    <mergeCell ref="H450:K450"/>
    <mergeCell ref="B450:C450"/>
    <mergeCell ref="D450:E450"/>
    <mergeCell ref="B449:C449"/>
    <mergeCell ref="D448:E448"/>
    <mergeCell ref="L374:M374"/>
    <mergeCell ref="D429:E429"/>
    <mergeCell ref="H444:I444"/>
    <mergeCell ref="D430:E430"/>
    <mergeCell ref="H438:I438"/>
    <mergeCell ref="J443:K443"/>
    <mergeCell ref="D437:E437"/>
    <mergeCell ref="B443:C443"/>
    <mergeCell ref="H442:I442"/>
    <mergeCell ref="J440:K440"/>
    <mergeCell ref="D438:E438"/>
    <mergeCell ref="H439:I439"/>
    <mergeCell ref="B438:C438"/>
    <mergeCell ref="B441:E441"/>
    <mergeCell ref="B442:C442"/>
    <mergeCell ref="B444:C444"/>
    <mergeCell ref="H441:K441"/>
    <mergeCell ref="D374:E374"/>
    <mergeCell ref="O347:Q348"/>
    <mergeCell ref="P342:R342"/>
    <mergeCell ref="R325:T326"/>
    <mergeCell ref="O325:Q326"/>
    <mergeCell ref="D334:H334"/>
    <mergeCell ref="J337:K337"/>
    <mergeCell ref="F337:G337"/>
    <mergeCell ref="H337:I337"/>
    <mergeCell ref="H332:I332"/>
    <mergeCell ref="E332:F332"/>
    <mergeCell ref="C329:J329"/>
    <mergeCell ref="L337:M337"/>
    <mergeCell ref="L338:M338"/>
    <mergeCell ref="H339:I339"/>
    <mergeCell ref="L339:M339"/>
    <mergeCell ref="J469:K469"/>
    <mergeCell ref="J470:K470"/>
    <mergeCell ref="B296:C296"/>
    <mergeCell ref="D296:E296"/>
    <mergeCell ref="F296:G296"/>
    <mergeCell ref="H296:I296"/>
    <mergeCell ref="J296:K296"/>
    <mergeCell ref="F293:G293"/>
    <mergeCell ref="J294:K294"/>
    <mergeCell ref="B331:C331"/>
    <mergeCell ref="H331:K331"/>
    <mergeCell ref="B435:C435"/>
    <mergeCell ref="J448:K448"/>
    <mergeCell ref="H436:I436"/>
    <mergeCell ref="H443:I443"/>
    <mergeCell ref="H449:I449"/>
    <mergeCell ref="J447:K447"/>
    <mergeCell ref="B448:C448"/>
    <mergeCell ref="B445:C445"/>
    <mergeCell ref="B434:C434"/>
    <mergeCell ref="F423:G450"/>
    <mergeCell ref="H424:I424"/>
    <mergeCell ref="H423:K423"/>
    <mergeCell ref="D443:E443"/>
    <mergeCell ref="M467:N467"/>
    <mergeCell ref="L376:M376"/>
    <mergeCell ref="B436:E436"/>
    <mergeCell ref="H446:K446"/>
    <mergeCell ref="J449:K449"/>
    <mergeCell ref="H437:K437"/>
    <mergeCell ref="AA235:AE235"/>
    <mergeCell ref="J275:K275"/>
    <mergeCell ref="E264:G264"/>
    <mergeCell ref="B275:C275"/>
    <mergeCell ref="L275:M275"/>
    <mergeCell ref="K263:M263"/>
    <mergeCell ref="D270:E270"/>
    <mergeCell ref="H269:I269"/>
    <mergeCell ref="F275:G275"/>
    <mergeCell ref="B270:C270"/>
    <mergeCell ref="D269:E269"/>
    <mergeCell ref="A263:B263"/>
    <mergeCell ref="J242:M242"/>
    <mergeCell ref="A241:D242"/>
    <mergeCell ref="J252:K252"/>
    <mergeCell ref="H253:I253"/>
    <mergeCell ref="H252:I252"/>
    <mergeCell ref="D235:D236"/>
    <mergeCell ref="W236:X236"/>
    <mergeCell ref="J269:K269"/>
    <mergeCell ref="B269:C269"/>
    <mergeCell ref="F269:G269"/>
    <mergeCell ref="H270:I270"/>
    <mergeCell ref="J478:K478"/>
    <mergeCell ref="F468:G468"/>
    <mergeCell ref="D445:E445"/>
    <mergeCell ref="D449:E449"/>
    <mergeCell ref="F478:G478"/>
    <mergeCell ref="F469:G469"/>
    <mergeCell ref="F470:G470"/>
    <mergeCell ref="F471:G471"/>
    <mergeCell ref="F472:G472"/>
    <mergeCell ref="F473:G473"/>
    <mergeCell ref="F474:G474"/>
    <mergeCell ref="F475:G475"/>
    <mergeCell ref="F476:G476"/>
    <mergeCell ref="H468:I468"/>
    <mergeCell ref="C465:H465"/>
    <mergeCell ref="J468:K468"/>
    <mergeCell ref="F477:G477"/>
    <mergeCell ref="H447:I447"/>
    <mergeCell ref="H448:I448"/>
    <mergeCell ref="H477:I477"/>
    <mergeCell ref="J474:K474"/>
    <mergeCell ref="J475:K475"/>
    <mergeCell ref="J476:K476"/>
    <mergeCell ref="H472:I472"/>
    <mergeCell ref="H473:I473"/>
    <mergeCell ref="J477:K477"/>
    <mergeCell ref="H471:I471"/>
    <mergeCell ref="J471:K471"/>
    <mergeCell ref="J472:K472"/>
    <mergeCell ref="J473:K473"/>
    <mergeCell ref="H475:I475"/>
    <mergeCell ref="H476:I476"/>
    <mergeCell ref="D447:E447"/>
    <mergeCell ref="J445:K445"/>
    <mergeCell ref="D444:E444"/>
    <mergeCell ref="D435:E435"/>
    <mergeCell ref="H430:I430"/>
    <mergeCell ref="J439:K439"/>
    <mergeCell ref="D433:E433"/>
    <mergeCell ref="B433:C433"/>
    <mergeCell ref="B432:E432"/>
    <mergeCell ref="H440:I440"/>
    <mergeCell ref="J444:K444"/>
    <mergeCell ref="J438:K438"/>
    <mergeCell ref="H445:I445"/>
    <mergeCell ref="D439:E439"/>
    <mergeCell ref="D434:E434"/>
    <mergeCell ref="B446:E446"/>
    <mergeCell ref="B447:C447"/>
    <mergeCell ref="B430:C430"/>
    <mergeCell ref="H433:K433"/>
    <mergeCell ref="H432:I432"/>
    <mergeCell ref="H431:I431"/>
    <mergeCell ref="B431:E431"/>
    <mergeCell ref="D442:E442"/>
    <mergeCell ref="B437:C437"/>
    <mergeCell ref="E404:F404"/>
    <mergeCell ref="I411:J411"/>
    <mergeCell ref="B385:K385"/>
    <mergeCell ref="J404:K404"/>
    <mergeCell ref="B424:E424"/>
    <mergeCell ref="B403:C403"/>
    <mergeCell ref="H404:I404"/>
    <mergeCell ref="H419:I419"/>
    <mergeCell ref="E417:F417"/>
    <mergeCell ref="B423:E423"/>
    <mergeCell ref="B421:K421"/>
    <mergeCell ref="B389:C389"/>
    <mergeCell ref="H403:K403"/>
    <mergeCell ref="E403:F403"/>
    <mergeCell ref="J389:K389"/>
    <mergeCell ref="E418:F418"/>
    <mergeCell ref="B387:K387"/>
    <mergeCell ref="E389:F389"/>
    <mergeCell ref="C401:J401"/>
    <mergeCell ref="B427:C427"/>
    <mergeCell ref="B426:C426"/>
    <mergeCell ref="B425:C425"/>
    <mergeCell ref="D426:E426"/>
    <mergeCell ref="D427:E427"/>
    <mergeCell ref="H426:I426"/>
    <mergeCell ref="J426:K426"/>
    <mergeCell ref="H425:I425"/>
    <mergeCell ref="D425:E425"/>
    <mergeCell ref="J425:K425"/>
    <mergeCell ref="A381:F381"/>
    <mergeCell ref="F338:G338"/>
    <mergeCell ref="J339:K339"/>
    <mergeCell ref="E331:F331"/>
    <mergeCell ref="A337:B338"/>
    <mergeCell ref="J332:K332"/>
    <mergeCell ref="H376:I376"/>
    <mergeCell ref="J376:K376"/>
    <mergeCell ref="D376:E376"/>
    <mergeCell ref="A345:F345"/>
    <mergeCell ref="A346:F346"/>
    <mergeCell ref="A380:F380"/>
    <mergeCell ref="J375:K375"/>
    <mergeCell ref="D338:E338"/>
    <mergeCell ref="D339:E339"/>
    <mergeCell ref="H338:I338"/>
    <mergeCell ref="D337:E337"/>
    <mergeCell ref="J369:K369"/>
    <mergeCell ref="J338:K338"/>
    <mergeCell ref="B350:K350"/>
    <mergeCell ref="H368:K368"/>
    <mergeCell ref="E368:F368"/>
    <mergeCell ref="E369:F369"/>
    <mergeCell ref="C366:J366"/>
    <mergeCell ref="L375:M375"/>
    <mergeCell ref="F294:G294"/>
    <mergeCell ref="B292:C292"/>
    <mergeCell ref="D294:E294"/>
    <mergeCell ref="A308:F308"/>
    <mergeCell ref="J317:K317"/>
    <mergeCell ref="H293:I293"/>
    <mergeCell ref="D293:E293"/>
    <mergeCell ref="B294:C294"/>
    <mergeCell ref="J293:K293"/>
    <mergeCell ref="H294:I294"/>
    <mergeCell ref="B293:C293"/>
    <mergeCell ref="B317:C317"/>
    <mergeCell ref="B315:K315"/>
    <mergeCell ref="B313:K313"/>
    <mergeCell ref="E317:F317"/>
    <mergeCell ref="A309:F309"/>
    <mergeCell ref="B368:C368"/>
    <mergeCell ref="E354:F354"/>
    <mergeCell ref="D375:E375"/>
    <mergeCell ref="F375:G375"/>
    <mergeCell ref="D371:H371"/>
    <mergeCell ref="H375:I375"/>
    <mergeCell ref="H292:I292"/>
    <mergeCell ref="B295:C295"/>
    <mergeCell ref="D295:E295"/>
    <mergeCell ref="F295:G295"/>
    <mergeCell ref="H295:I295"/>
    <mergeCell ref="J295:K295"/>
    <mergeCell ref="L277:M277"/>
    <mergeCell ref="A280:A281"/>
    <mergeCell ref="B280:C280"/>
    <mergeCell ref="J280:K280"/>
    <mergeCell ref="L280:M280"/>
    <mergeCell ref="B281:C281"/>
    <mergeCell ref="J281:K281"/>
    <mergeCell ref="L281:M281"/>
    <mergeCell ref="A282:A283"/>
    <mergeCell ref="B282:C282"/>
    <mergeCell ref="J282:K282"/>
    <mergeCell ref="L282:M282"/>
    <mergeCell ref="B283:C283"/>
    <mergeCell ref="J283:K283"/>
    <mergeCell ref="L283:M283"/>
    <mergeCell ref="D292:E292"/>
    <mergeCell ref="F292:G292"/>
    <mergeCell ref="J292:K292"/>
    <mergeCell ref="A278:A279"/>
  </mergeCells>
  <phoneticPr fontId="58" type="noConversion"/>
  <conditionalFormatting sqref="O242:S242">
    <cfRule type="containsBlanks" dxfId="29" priority="266">
      <formula>LEN(TRIM(O242))=0</formula>
    </cfRule>
    <cfRule type="cellIs" dxfId="28" priority="267" operator="greaterThan">
      <formula>1.5</formula>
    </cfRule>
  </conditionalFormatting>
  <conditionalFormatting sqref="J293:K294">
    <cfRule type="cellIs" dxfId="27" priority="259" operator="between">
      <formula>10.0001</formula>
      <formula>9.9999</formula>
    </cfRule>
  </conditionalFormatting>
  <conditionalFormatting sqref="O252:P253">
    <cfRule type="cellIs" dxfId="26" priority="202" stopIfTrue="1" operator="notBetween">
      <formula>-100</formula>
      <formula>100</formula>
    </cfRule>
  </conditionalFormatting>
  <conditionalFormatting sqref="C469:C478">
    <cfRule type="cellIs" dxfId="25" priority="178" operator="notEqual">
      <formula>0</formula>
    </cfRule>
  </conditionalFormatting>
  <conditionalFormatting sqref="G97:I97">
    <cfRule type="cellIs" dxfId="24" priority="173" operator="lessThan">
      <formula>$G$98</formula>
    </cfRule>
  </conditionalFormatting>
  <conditionalFormatting sqref="P169:P170">
    <cfRule type="cellIs" dxfId="23" priority="172" operator="greaterThan">
      <formula>0.2</formula>
    </cfRule>
  </conditionalFormatting>
  <conditionalFormatting sqref="AA237:AE238">
    <cfRule type="containsBlanks" dxfId="22" priority="153">
      <formula>LEN(TRIM(AA237))=0</formula>
    </cfRule>
    <cfRule type="cellIs" dxfId="21" priority="154" operator="greaterThan">
      <formula>1.5</formula>
    </cfRule>
  </conditionalFormatting>
  <conditionalFormatting sqref="AA240:AE240">
    <cfRule type="containsBlanks" dxfId="20" priority="19">
      <formula>LEN(TRIM(AA240))=0</formula>
    </cfRule>
    <cfRule type="cellIs" dxfId="19" priority="20" operator="greaterThan">
      <formula>1.5</formula>
    </cfRule>
  </conditionalFormatting>
  <conditionalFormatting sqref="O255:P255">
    <cfRule type="cellIs" dxfId="18" priority="18" stopIfTrue="1" operator="notBetween">
      <formula>-100</formula>
      <formula>100</formula>
    </cfRule>
  </conditionalFormatting>
  <conditionalFormatting sqref="J296:K296">
    <cfRule type="cellIs" dxfId="17" priority="17" operator="between">
      <formula>10.0001</formula>
      <formula>9.9999</formula>
    </cfRule>
  </conditionalFormatting>
  <conditionalFormatting sqref="AA239:AE239">
    <cfRule type="containsBlanks" dxfId="16" priority="3">
      <formula>LEN(TRIM(AA239))=0</formula>
    </cfRule>
    <cfRule type="cellIs" dxfId="15" priority="4" operator="greaterThan">
      <formula>1.5</formula>
    </cfRule>
  </conditionalFormatting>
  <conditionalFormatting sqref="O254:P254">
    <cfRule type="cellIs" dxfId="14" priority="2" stopIfTrue="1" operator="notBetween">
      <formula>-100</formula>
      <formula>100</formula>
    </cfRule>
  </conditionalFormatting>
  <conditionalFormatting sqref="J295:K295">
    <cfRule type="cellIs" dxfId="13" priority="1" operator="between">
      <formula>10.0001</formula>
      <formula>9.9999</formula>
    </cfRule>
  </conditionalFormatting>
  <dataValidations disablePrompts="1" count="1">
    <dataValidation type="list" allowBlank="1" showInputMessage="1" showErrorMessage="1" sqref="P425" xr:uid="{00000000-0002-0000-0300-000000000000}">
      <formula1>"0.8,1"</formula1>
    </dataValidation>
  </dataValidations>
  <printOptions horizontalCentered="1"/>
  <pageMargins left="0.25" right="0.25" top="0.75" bottom="0.75" header="0.3" footer="0.3"/>
  <pageSetup paperSize="9" scale="87" fitToHeight="0" orientation="portrait" r:id="rId1"/>
  <headerFooter scaleWithDoc="0" alignWithMargins="0">
    <oddFooter>&amp;C&amp;"Times New Roman,Normal"&amp;12Etude de Projet d’Irrigation&amp;RPage &amp;P</oddFooter>
    <firstFooter>&amp;C&amp;"Times New Roman,Regular"&amp;12&amp;K002060Siege social : BV EL MOUKAWAMA IMM ANNASR 2éme étage GUERCIF Patente N°15803083
Email : agriculturezoubaa@gmail.com Tél : 0662044762</firstFooter>
  </headerFooter>
  <rowBreaks count="11" manualBreakCount="11">
    <brk id="41" max="10" man="1"/>
    <brk id="73" max="10" man="1"/>
    <brk id="124" max="12" man="1"/>
    <brk id="167" max="12" man="1"/>
    <brk id="214" max="12" man="1"/>
    <brk id="249" max="12" man="1"/>
    <brk id="273" max="12" man="1"/>
    <brk id="289" max="12" man="1"/>
    <brk id="335" max="12" man="1"/>
    <brk id="372" max="12" man="1"/>
    <brk id="407" max="12" man="1"/>
  </rowBreaks>
  <colBreaks count="1" manualBreakCount="1">
    <brk id="13" max="1048575" man="1"/>
  </colBreaks>
  <ignoredErrors>
    <ignoredError sqref="E415 M172 G176 A181:M181 A176:E176 H176 J176:M176 A177:B177 F177:G177 A178:B180 D180:M180 J177:M177 F178:G178 F179:G179" formula="1"/>
    <ignoredError sqref="K172 F176 I176" evalError="1" formula="1"/>
  </ignoredErrors>
  <drawing r:id="rId2"/>
  <legacyDrawing r:id="rId3"/>
  <oleObjects>
    <mc:AlternateContent xmlns:mc="http://schemas.openxmlformats.org/markup-compatibility/2006">
      <mc:Choice Requires="x14">
        <oleObject progId="Equation.3" shapeId="1025" r:id="rId4">
          <objectPr defaultSize="0" autoPict="0" r:id="rId5">
            <anchor moveWithCells="1" sizeWithCells="1">
              <from>
                <xdr:col>0</xdr:col>
                <xdr:colOff>0</xdr:colOff>
                <xdr:row>197</xdr:row>
                <xdr:rowOff>0</xdr:rowOff>
              </from>
              <to>
                <xdr:col>1</xdr:col>
                <xdr:colOff>647700</xdr:colOff>
                <xdr:row>197</xdr:row>
                <xdr:rowOff>0</xdr:rowOff>
              </to>
            </anchor>
          </objectPr>
        </oleObject>
      </mc:Choice>
      <mc:Fallback>
        <oleObject progId="Equation.3" shapeId="1025" r:id="rId4"/>
      </mc:Fallback>
    </mc:AlternateContent>
    <mc:AlternateContent xmlns:mc="http://schemas.openxmlformats.org/markup-compatibility/2006">
      <mc:Choice Requires="x14">
        <oleObject progId="Equation.3" shapeId="1026" r:id="rId6">
          <objectPr defaultSize="0" autoPict="0" r:id="rId7">
            <anchor moveWithCells="1" sizeWithCells="1">
              <from>
                <xdr:col>3</xdr:col>
                <xdr:colOff>213360</xdr:colOff>
                <xdr:row>203</xdr:row>
                <xdr:rowOff>0</xdr:rowOff>
              </from>
              <to>
                <xdr:col>3</xdr:col>
                <xdr:colOff>350520</xdr:colOff>
                <xdr:row>203</xdr:row>
                <xdr:rowOff>0</xdr:rowOff>
              </to>
            </anchor>
          </objectPr>
        </oleObject>
      </mc:Choice>
      <mc:Fallback>
        <oleObject progId="Equation.3" shapeId="1026" r:id="rId6"/>
      </mc:Fallback>
    </mc:AlternateContent>
    <mc:AlternateContent xmlns:mc="http://schemas.openxmlformats.org/markup-compatibility/2006">
      <mc:Choice Requires="x14">
        <oleObject progId="Equation.3" shapeId="1027" r:id="rId8">
          <objectPr defaultSize="0" autoPict="0" r:id="rId9">
            <anchor moveWithCells="1" sizeWithCells="1">
              <from>
                <xdr:col>0</xdr:col>
                <xdr:colOff>76200</xdr:colOff>
                <xdr:row>197</xdr:row>
                <xdr:rowOff>0</xdr:rowOff>
              </from>
              <to>
                <xdr:col>1</xdr:col>
                <xdr:colOff>556260</xdr:colOff>
                <xdr:row>197</xdr:row>
                <xdr:rowOff>0</xdr:rowOff>
              </to>
            </anchor>
          </objectPr>
        </oleObject>
      </mc:Choice>
      <mc:Fallback>
        <oleObject progId="Equation.3" shapeId="1027" r:id="rId8"/>
      </mc:Fallback>
    </mc:AlternateContent>
  </oleObjects>
  <extLst>
    <ext xmlns:x14="http://schemas.microsoft.com/office/spreadsheetml/2009/9/main" uri="{78C0D931-6437-407d-A8EE-F0AAD7539E65}">
      <x14:conditionalFormattings>
        <x14:conditionalFormatting xmlns:xm="http://schemas.microsoft.com/office/excel/2006/main">
          <x14:cfRule type="cellIs" priority="165" operator="greaterThan" id="{6038D33B-98FE-495B-B33A-B0F3AB57241B}">
            <xm:f>'Diamétre Interieur'!$F$4</xm:f>
            <x14:dxf>
              <font>
                <color rgb="FFFF0000"/>
              </font>
            </x14:dxf>
          </x14:cfRule>
          <xm:sqref>W237:W238</xm:sqref>
        </x14:conditionalFormatting>
        <x14:conditionalFormatting xmlns:xm="http://schemas.microsoft.com/office/excel/2006/main">
          <x14:cfRule type="cellIs" priority="164" operator="greaterThan" id="{CFF3D7EE-4B06-41E9-9277-AA4A5A81DB73}">
            <xm:f>'Diamétre Interieur'!$F$5</xm:f>
            <x14:dxf>
              <font>
                <color rgb="FFFF0000"/>
              </font>
            </x14:dxf>
          </x14:cfRule>
          <xm:sqref>U237:U238</xm:sqref>
        </x14:conditionalFormatting>
        <x14:conditionalFormatting xmlns:xm="http://schemas.microsoft.com/office/excel/2006/main">
          <x14:cfRule type="cellIs" priority="162" operator="greaterThan" id="{57FDBAD6-EE3E-4CE8-B054-40BB6DFD21A4}">
            <xm:f>'Diamétre Interieur'!$F$7</xm:f>
            <x14:dxf>
              <font>
                <color rgb="FFFF0000"/>
              </font>
            </x14:dxf>
          </x14:cfRule>
          <xm:sqref>Q237:Q238</xm:sqref>
        </x14:conditionalFormatting>
        <x14:conditionalFormatting xmlns:xm="http://schemas.microsoft.com/office/excel/2006/main">
          <x14:cfRule type="cellIs" priority="161" operator="greaterThan" id="{06721666-1664-4A70-8363-686871BD34C9}">
            <xm:f>'Diamétre Interieur'!$F$8</xm:f>
            <x14:dxf>
              <font>
                <color rgb="FFFF0000"/>
              </font>
            </x14:dxf>
          </x14:cfRule>
          <xm:sqref>O237:O238</xm:sqref>
        </x14:conditionalFormatting>
        <x14:conditionalFormatting xmlns:xm="http://schemas.microsoft.com/office/excel/2006/main">
          <x14:cfRule type="cellIs" priority="24" operator="greaterThan" id="{35340B81-F821-4267-8035-82FAC3EAA5DF}">
            <xm:f>'Diamétre Interieur'!$F$4</xm:f>
            <x14:dxf>
              <font>
                <color rgb="FFFF0000"/>
              </font>
            </x14:dxf>
          </x14:cfRule>
          <xm:sqref>W240</xm:sqref>
        </x14:conditionalFormatting>
        <x14:conditionalFormatting xmlns:xm="http://schemas.microsoft.com/office/excel/2006/main">
          <x14:cfRule type="cellIs" priority="23" operator="greaterThan" id="{605F5984-E38F-448B-80EC-3A574B6008C4}">
            <xm:f>'Diamétre Interieur'!$F$5</xm:f>
            <x14:dxf>
              <font>
                <color rgb="FFFF0000"/>
              </font>
            </x14:dxf>
          </x14:cfRule>
          <xm:sqref>U240</xm:sqref>
        </x14:conditionalFormatting>
        <x14:conditionalFormatting xmlns:xm="http://schemas.microsoft.com/office/excel/2006/main">
          <x14:cfRule type="cellIs" priority="22" operator="greaterThan" id="{9BFE47CD-E732-4667-B3C1-766A0C23A6FE}">
            <xm:f>'Diamétre Interieur'!$F$7</xm:f>
            <x14:dxf>
              <font>
                <color rgb="FFFF0000"/>
              </font>
            </x14:dxf>
          </x14:cfRule>
          <xm:sqref>Q240</xm:sqref>
        </x14:conditionalFormatting>
        <x14:conditionalFormatting xmlns:xm="http://schemas.microsoft.com/office/excel/2006/main">
          <x14:cfRule type="cellIs" priority="21" operator="greaterThan" id="{04DA70F1-EF24-499D-B3A5-D6EDEACA6A73}">
            <xm:f>'Diamétre Interieur'!$F$8</xm:f>
            <x14:dxf>
              <font>
                <color rgb="FFFF0000"/>
              </font>
            </x14:dxf>
          </x14:cfRule>
          <xm:sqref>O240</xm:sqref>
        </x14:conditionalFormatting>
        <x14:conditionalFormatting xmlns:xm="http://schemas.microsoft.com/office/excel/2006/main">
          <x14:cfRule type="cellIs" priority="8" operator="greaterThan" id="{35DD79AD-81FB-45D7-AED6-E530CF991995}">
            <xm:f>'Diamétre Interieur'!$F$4</xm:f>
            <x14:dxf>
              <font>
                <color rgb="FFFF0000"/>
              </font>
            </x14:dxf>
          </x14:cfRule>
          <xm:sqref>W239</xm:sqref>
        </x14:conditionalFormatting>
        <x14:conditionalFormatting xmlns:xm="http://schemas.microsoft.com/office/excel/2006/main">
          <x14:cfRule type="cellIs" priority="7" operator="greaterThan" id="{9AE12632-97E0-4343-9D6B-F1E422E7E91F}">
            <xm:f>'Diamétre Interieur'!$F$5</xm:f>
            <x14:dxf>
              <font>
                <color rgb="FFFF0000"/>
              </font>
            </x14:dxf>
          </x14:cfRule>
          <xm:sqref>U239</xm:sqref>
        </x14:conditionalFormatting>
        <x14:conditionalFormatting xmlns:xm="http://schemas.microsoft.com/office/excel/2006/main">
          <x14:cfRule type="cellIs" priority="6" operator="greaterThan" id="{AA8DED07-09E3-4643-8DB2-63BBFA25BD74}">
            <xm:f>'Diamétre Interieur'!$F$7</xm:f>
            <x14:dxf>
              <font>
                <color rgb="FFFF0000"/>
              </font>
            </x14:dxf>
          </x14:cfRule>
          <xm:sqref>Q239</xm:sqref>
        </x14:conditionalFormatting>
        <x14:conditionalFormatting xmlns:xm="http://schemas.microsoft.com/office/excel/2006/main">
          <x14:cfRule type="cellIs" priority="5" operator="greaterThan" id="{BDB5D483-6321-4B54-BDB4-F058E41D80F7}">
            <xm:f>'Diamétre Interieur'!$F$8</xm:f>
            <x14:dxf>
              <font>
                <color rgb="FFFF0000"/>
              </font>
            </x14:dxf>
          </x14:cfRule>
          <xm:sqref>O239</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pageSetUpPr fitToPage="1"/>
  </sheetPr>
  <dimension ref="A1:AD40"/>
  <sheetViews>
    <sheetView view="pageBreakPreview" zoomScaleNormal="100" zoomScaleSheetLayoutView="100" workbookViewId="0">
      <selection activeCell="P8" sqref="P8"/>
    </sheetView>
  </sheetViews>
  <sheetFormatPr defaultColWidth="7.109375" defaultRowHeight="14.4" x14ac:dyDescent="0.3"/>
  <cols>
    <col min="2" max="3" width="10.88671875" customWidth="1"/>
    <col min="4" max="13" width="7.33203125" customWidth="1"/>
  </cols>
  <sheetData>
    <row r="1" spans="1:30" s="5" customFormat="1" ht="15.6" customHeight="1" x14ac:dyDescent="0.3">
      <c r="A1" s="260"/>
      <c r="B1" s="7"/>
      <c r="C1" s="7"/>
      <c r="D1" s="7"/>
      <c r="E1" s="7"/>
      <c r="F1" s="7"/>
      <c r="G1" s="7"/>
      <c r="H1" s="7"/>
      <c r="I1" s="7"/>
      <c r="J1" s="7"/>
      <c r="K1" s="7"/>
      <c r="L1" s="7"/>
      <c r="M1" s="7"/>
      <c r="N1" s="196"/>
      <c r="O1" s="196"/>
      <c r="P1" s="196"/>
      <c r="Q1" s="196"/>
      <c r="R1" s="196"/>
      <c r="S1" s="196"/>
      <c r="T1" s="196"/>
      <c r="U1" s="196"/>
      <c r="V1" s="196"/>
      <c r="W1" s="195"/>
      <c r="X1" s="195"/>
      <c r="Y1" s="8"/>
      <c r="Z1" s="8"/>
      <c r="AA1" s="8"/>
      <c r="AB1" s="8"/>
      <c r="AC1" s="8"/>
      <c r="AD1" s="8"/>
    </row>
    <row r="2" spans="1:30" s="5" customFormat="1" ht="15.6" customHeight="1" x14ac:dyDescent="0.3">
      <c r="A2" s="9"/>
      <c r="B2" s="7"/>
      <c r="C2" s="7"/>
      <c r="D2" s="7"/>
      <c r="E2" s="7"/>
      <c r="F2" s="7"/>
      <c r="G2" s="7"/>
      <c r="H2" s="7"/>
      <c r="I2" s="7"/>
      <c r="J2" s="7"/>
      <c r="K2" s="7"/>
      <c r="L2" s="7"/>
      <c r="M2" s="7"/>
      <c r="N2" s="196"/>
      <c r="O2" s="196"/>
      <c r="P2" s="196"/>
      <c r="Q2" s="196"/>
      <c r="R2" s="196"/>
      <c r="S2" s="196"/>
      <c r="T2" s="196"/>
      <c r="U2" s="196"/>
      <c r="V2" s="196"/>
      <c r="W2" s="195"/>
      <c r="X2" s="195"/>
      <c r="Y2" s="8"/>
      <c r="Z2" s="8"/>
      <c r="AA2" s="8"/>
      <c r="AB2" s="8"/>
      <c r="AC2" s="8"/>
      <c r="AD2" s="8"/>
    </row>
    <row r="3" spans="1:30" s="5" customFormat="1" ht="15.6" customHeight="1" x14ac:dyDescent="0.3">
      <c r="A3" s="9"/>
      <c r="B3" s="7"/>
      <c r="C3" s="7"/>
      <c r="D3" s="7"/>
      <c r="E3" s="7"/>
      <c r="F3" s="7"/>
      <c r="G3" s="7"/>
      <c r="H3" s="7"/>
      <c r="I3" s="7"/>
      <c r="J3" s="7"/>
      <c r="K3" s="7"/>
      <c r="L3" s="7"/>
      <c r="M3" s="7"/>
      <c r="N3" s="196"/>
      <c r="O3" s="196"/>
      <c r="P3" s="196"/>
      <c r="Q3" s="196"/>
      <c r="R3" s="196"/>
      <c r="S3" s="196"/>
      <c r="T3" s="196"/>
      <c r="U3" s="196"/>
      <c r="V3" s="196"/>
      <c r="W3" s="195"/>
      <c r="X3" s="195"/>
      <c r="Y3" s="8"/>
      <c r="Z3" s="8"/>
      <c r="AA3" s="8"/>
      <c r="AB3" s="8"/>
      <c r="AC3" s="8"/>
      <c r="AD3" s="8"/>
    </row>
    <row r="4" spans="1:30" s="5" customFormat="1" ht="26.25" customHeight="1" x14ac:dyDescent="0.3">
      <c r="A4" s="892" t="s">
        <v>416</v>
      </c>
      <c r="B4" s="892"/>
      <c r="C4" s="892"/>
      <c r="D4" s="892"/>
      <c r="E4" s="892"/>
      <c r="F4" s="892"/>
      <c r="G4" s="892"/>
      <c r="H4" s="892"/>
      <c r="I4" s="892"/>
      <c r="J4" s="892"/>
      <c r="K4" s="892"/>
      <c r="L4" s="892"/>
      <c r="M4" s="892"/>
      <c r="N4" s="196"/>
      <c r="O4" s="196"/>
      <c r="P4" s="196"/>
      <c r="Q4" s="196"/>
      <c r="R4" s="196"/>
      <c r="S4" s="196"/>
      <c r="T4" s="196"/>
      <c r="U4" s="196"/>
      <c r="V4" s="196"/>
      <c r="W4" s="195"/>
      <c r="X4" s="195"/>
      <c r="Y4" s="8"/>
      <c r="Z4" s="8"/>
      <c r="AA4" s="8"/>
      <c r="AB4" s="8"/>
      <c r="AC4" s="8"/>
      <c r="AD4" s="8"/>
    </row>
    <row r="5" spans="1:30" s="5" customFormat="1" ht="15.6" customHeight="1" x14ac:dyDescent="0.3">
      <c r="A5" s="9"/>
      <c r="B5" s="7"/>
      <c r="C5" s="7"/>
      <c r="D5" s="7"/>
      <c r="E5" s="7"/>
      <c r="F5" s="7"/>
      <c r="G5" s="261"/>
      <c r="H5" s="7"/>
      <c r="I5" s="7"/>
      <c r="J5" s="7"/>
      <c r="K5" s="7"/>
      <c r="L5" s="7"/>
      <c r="M5" s="7"/>
      <c r="N5" s="196"/>
      <c r="O5" s="196"/>
      <c r="P5" s="196"/>
      <c r="Q5" s="196"/>
      <c r="R5" s="196"/>
      <c r="S5" s="196"/>
      <c r="T5" s="196"/>
      <c r="U5" s="196"/>
      <c r="V5" s="196"/>
      <c r="W5" s="195"/>
      <c r="X5" s="195"/>
      <c r="Y5" s="8"/>
      <c r="Z5" s="8"/>
      <c r="AA5" s="8"/>
      <c r="AB5" s="8"/>
      <c r="AC5" s="8"/>
      <c r="AD5" s="8"/>
    </row>
    <row r="6" spans="1:30" s="5" customFormat="1" ht="15.6" customHeight="1" x14ac:dyDescent="0.3">
      <c r="A6" s="9"/>
      <c r="B6" s="7"/>
      <c r="C6" s="7"/>
      <c r="D6" s="7"/>
      <c r="E6" s="7"/>
      <c r="F6" s="7"/>
      <c r="G6" s="7"/>
      <c r="H6" s="7"/>
      <c r="I6" s="7"/>
      <c r="J6" s="7"/>
      <c r="K6" s="7"/>
      <c r="L6" s="7"/>
      <c r="M6" s="7"/>
      <c r="N6" s="196"/>
      <c r="O6" s="196"/>
      <c r="P6" s="196"/>
      <c r="Q6" s="196"/>
      <c r="R6" s="196"/>
      <c r="S6" s="196"/>
      <c r="T6" s="196"/>
      <c r="U6" s="196"/>
      <c r="V6" s="196"/>
      <c r="W6" s="195"/>
      <c r="X6" s="195"/>
      <c r="Y6" s="8"/>
      <c r="Z6" s="8"/>
      <c r="AA6" s="8"/>
      <c r="AB6" s="8"/>
      <c r="AC6" s="8"/>
      <c r="AD6" s="8"/>
    </row>
    <row r="7" spans="1:30" s="5" customFormat="1" ht="15.6" customHeight="1" x14ac:dyDescent="0.3">
      <c r="A7" s="9"/>
      <c r="B7" s="7"/>
      <c r="C7" s="7"/>
      <c r="D7" s="7"/>
      <c r="E7" s="7"/>
      <c r="F7" s="7"/>
      <c r="G7" s="7"/>
      <c r="H7" s="7"/>
      <c r="I7" s="7"/>
      <c r="J7" s="7"/>
      <c r="K7" s="7"/>
      <c r="L7" s="7"/>
      <c r="M7" s="7"/>
      <c r="N7" s="196"/>
      <c r="O7" s="196"/>
      <c r="P7" s="196"/>
      <c r="Q7" s="196"/>
      <c r="R7" s="196"/>
      <c r="S7" s="196"/>
      <c r="T7" s="196"/>
      <c r="U7" s="196"/>
      <c r="V7" s="196"/>
      <c r="W7" s="195"/>
      <c r="X7" s="195"/>
      <c r="Y7" s="8"/>
      <c r="Z7" s="8"/>
      <c r="AA7" s="8"/>
      <c r="AB7" s="8"/>
      <c r="AC7" s="8"/>
      <c r="AD7" s="8"/>
    </row>
    <row r="8" spans="1:30" s="5" customFormat="1" ht="163.5" customHeight="1" x14ac:dyDescent="0.3">
      <c r="B8" s="893" t="s">
        <v>564</v>
      </c>
      <c r="C8" s="893"/>
      <c r="D8" s="893"/>
      <c r="E8" s="893"/>
      <c r="F8" s="893"/>
      <c r="G8" s="893"/>
      <c r="H8" s="893"/>
      <c r="I8" s="893"/>
      <c r="J8" s="893"/>
      <c r="K8" s="893"/>
      <c r="L8" s="893"/>
      <c r="M8" s="262"/>
      <c r="N8" s="263"/>
      <c r="O8" s="196"/>
      <c r="P8" s="196"/>
      <c r="Q8" s="196"/>
      <c r="R8" s="196"/>
      <c r="S8" s="196"/>
      <c r="T8" s="196"/>
      <c r="U8" s="196"/>
      <c r="V8" s="196"/>
      <c r="W8" s="156"/>
      <c r="X8" s="156"/>
    </row>
    <row r="9" spans="1:30" s="5" customFormat="1" ht="18" customHeight="1" x14ac:dyDescent="0.3">
      <c r="B9" s="264"/>
      <c r="C9" s="262"/>
      <c r="D9" s="262"/>
      <c r="E9" s="262"/>
      <c r="F9" s="262"/>
      <c r="G9" s="262"/>
      <c r="H9" s="262"/>
      <c r="I9" s="262"/>
      <c r="J9" s="262"/>
      <c r="K9" s="262"/>
      <c r="L9" s="262"/>
      <c r="M9" s="262"/>
      <c r="N9" s="263"/>
      <c r="O9" s="196"/>
      <c r="P9" s="196"/>
      <c r="Q9" s="196"/>
      <c r="R9" s="196"/>
      <c r="S9" s="196"/>
      <c r="T9" s="196"/>
      <c r="U9" s="196"/>
      <c r="V9" s="196"/>
      <c r="W9" s="156"/>
      <c r="X9" s="156"/>
    </row>
    <row r="10" spans="1:30" s="5" customFormat="1" ht="23.25" customHeight="1" x14ac:dyDescent="0.3">
      <c r="B10" s="10" t="s">
        <v>417</v>
      </c>
      <c r="C10" s="10"/>
      <c r="D10" s="891" t="str">
        <f>Rapport!G21</f>
        <v>Mr. Ahmed Bouirdne</v>
      </c>
      <c r="E10" s="891"/>
      <c r="F10" s="891"/>
      <c r="G10" s="891"/>
      <c r="H10" s="891"/>
      <c r="I10" s="10"/>
      <c r="J10" s="10"/>
      <c r="K10" s="10"/>
      <c r="L10" s="10"/>
      <c r="M10" s="10"/>
      <c r="N10" s="230"/>
      <c r="O10" s="196"/>
      <c r="P10" s="196"/>
      <c r="Q10" s="196"/>
      <c r="R10" s="196"/>
      <c r="S10" s="196"/>
      <c r="T10" s="196"/>
      <c r="U10" s="196"/>
      <c r="V10" s="196"/>
      <c r="W10" s="156"/>
      <c r="X10" s="156"/>
    </row>
    <row r="11" spans="1:30" s="5" customFormat="1" ht="23.25" hidden="1" customHeight="1" x14ac:dyDescent="0.3">
      <c r="B11" s="10"/>
      <c r="C11" s="10"/>
      <c r="D11" s="896" t="str">
        <f>Rapport!G22</f>
        <v>Mr. Mostapha Zoubaa</v>
      </c>
      <c r="E11" s="896"/>
      <c r="F11" s="896"/>
      <c r="G11" s="896"/>
      <c r="H11" s="265"/>
      <c r="I11" s="10"/>
      <c r="J11" s="10"/>
      <c r="K11" s="10"/>
      <c r="L11" s="10"/>
      <c r="M11" s="10"/>
      <c r="N11" s="230"/>
      <c r="O11" s="196"/>
      <c r="P11" s="196"/>
      <c r="Q11" s="196"/>
      <c r="R11" s="196"/>
      <c r="S11" s="196"/>
      <c r="T11" s="196"/>
      <c r="U11" s="196"/>
      <c r="V11" s="196"/>
      <c r="W11" s="156"/>
      <c r="X11" s="156"/>
    </row>
    <row r="12" spans="1:30" s="5" customFormat="1" ht="23.25" hidden="1" customHeight="1" x14ac:dyDescent="0.3">
      <c r="B12" s="10"/>
      <c r="C12" s="10"/>
      <c r="D12" s="896" t="str">
        <f>Rapport!G23</f>
        <v>Mme. Fatima Zoubaa</v>
      </c>
      <c r="E12" s="896"/>
      <c r="F12" s="896"/>
      <c r="G12" s="896"/>
      <c r="H12" s="265"/>
      <c r="I12" s="10"/>
      <c r="J12" s="10"/>
      <c r="K12" s="10"/>
      <c r="L12" s="10"/>
      <c r="M12" s="10"/>
      <c r="N12" s="230"/>
      <c r="O12" s="196"/>
      <c r="P12" s="196"/>
      <c r="Q12" s="196"/>
      <c r="R12" s="196"/>
      <c r="S12" s="196"/>
      <c r="T12" s="196"/>
      <c r="U12" s="196"/>
      <c r="V12" s="196"/>
      <c r="W12" s="156"/>
      <c r="X12" s="156"/>
    </row>
    <row r="13" spans="1:30" s="5" customFormat="1" ht="23.25" customHeight="1" x14ac:dyDescent="0.3">
      <c r="B13" s="266" t="s">
        <v>418</v>
      </c>
      <c r="C13" s="10"/>
      <c r="D13" s="894" t="str">
        <f>Rapport!G24</f>
        <v>JD54766</v>
      </c>
      <c r="E13" s="894"/>
      <c r="F13" s="894"/>
      <c r="G13" s="894"/>
      <c r="H13" s="894"/>
      <c r="I13" s="894"/>
      <c r="J13" s="894"/>
      <c r="K13" s="10"/>
      <c r="L13" s="10"/>
      <c r="M13" s="10"/>
      <c r="N13" s="230"/>
      <c r="O13" s="196"/>
      <c r="P13" s="196"/>
      <c r="Q13" s="196"/>
      <c r="R13" s="196"/>
      <c r="S13" s="196"/>
      <c r="T13" s="196"/>
      <c r="U13" s="196"/>
      <c r="V13" s="196"/>
      <c r="W13" s="156"/>
      <c r="X13" s="156"/>
    </row>
    <row r="14" spans="1:30" s="5" customFormat="1" ht="23.25" hidden="1" customHeight="1" x14ac:dyDescent="0.3">
      <c r="B14" s="266"/>
      <c r="C14" s="10"/>
      <c r="D14" s="894" t="str">
        <f>Rapport!G25</f>
        <v>LF27997</v>
      </c>
      <c r="E14" s="894"/>
      <c r="F14" s="894"/>
      <c r="G14" s="894"/>
      <c r="H14" s="894"/>
      <c r="I14" s="894"/>
      <c r="J14" s="894"/>
      <c r="K14" s="10"/>
      <c r="L14" s="10"/>
      <c r="M14" s="10"/>
      <c r="N14" s="230"/>
      <c r="O14" s="196"/>
      <c r="P14" s="196"/>
      <c r="Q14" s="196"/>
      <c r="R14" s="196"/>
      <c r="S14" s="196"/>
      <c r="T14" s="196"/>
      <c r="U14" s="196"/>
      <c r="V14" s="196"/>
      <c r="W14" s="156"/>
      <c r="X14" s="156"/>
    </row>
    <row r="15" spans="1:30" s="5" customFormat="1" ht="23.25" hidden="1" customHeight="1" x14ac:dyDescent="0.3">
      <c r="B15" s="266"/>
      <c r="C15" s="10"/>
      <c r="D15" s="894" t="str">
        <f>Rapport!G26</f>
        <v>S649496</v>
      </c>
      <c r="E15" s="894"/>
      <c r="F15" s="894"/>
      <c r="G15" s="894"/>
      <c r="H15" s="894"/>
      <c r="I15" s="894"/>
      <c r="J15" s="894"/>
      <c r="K15" s="10"/>
      <c r="L15" s="10"/>
      <c r="M15" s="10"/>
      <c r="N15" s="230"/>
      <c r="O15" s="196"/>
      <c r="P15" s="196"/>
      <c r="Q15" s="196"/>
      <c r="R15" s="196"/>
      <c r="S15" s="196"/>
      <c r="T15" s="196"/>
      <c r="U15" s="196"/>
      <c r="V15" s="196"/>
      <c r="W15" s="156"/>
      <c r="X15" s="156"/>
    </row>
    <row r="16" spans="1:30" s="5" customFormat="1" ht="23.25" customHeight="1" x14ac:dyDescent="0.3">
      <c r="B16" s="895" t="s">
        <v>419</v>
      </c>
      <c r="C16" s="895"/>
      <c r="D16" s="895"/>
      <c r="E16" s="895"/>
      <c r="F16" s="895"/>
      <c r="G16" s="895"/>
      <c r="H16" s="895"/>
      <c r="I16" s="895"/>
      <c r="J16" s="895"/>
      <c r="K16" s="895"/>
      <c r="L16" s="895"/>
      <c r="M16" s="895"/>
      <c r="N16" s="895"/>
      <c r="O16" s="196"/>
      <c r="P16" s="196"/>
      <c r="Q16" s="196"/>
      <c r="R16" s="196"/>
      <c r="S16" s="196"/>
      <c r="T16" s="196"/>
      <c r="U16" s="196"/>
      <c r="V16" s="196"/>
      <c r="W16" s="156"/>
      <c r="X16" s="156"/>
    </row>
    <row r="17" spans="2:24" s="5" customFormat="1" ht="23.25" hidden="1" customHeight="1" x14ac:dyDescent="0.3">
      <c r="B17" s="890" t="s">
        <v>420</v>
      </c>
      <c r="C17" s="890"/>
      <c r="D17" s="891" t="str">
        <f>Rapport!G30</f>
        <v>Toufgnit</v>
      </c>
      <c r="E17" s="891"/>
      <c r="F17" s="891"/>
      <c r="G17" s="10"/>
      <c r="H17" s="10"/>
      <c r="I17" s="10"/>
      <c r="J17" s="10"/>
      <c r="K17" s="10"/>
      <c r="L17" s="10"/>
      <c r="M17" s="10"/>
      <c r="N17" s="230"/>
      <c r="O17" s="196"/>
      <c r="P17" s="196"/>
      <c r="Q17" s="196"/>
      <c r="R17" s="196"/>
      <c r="S17" s="196"/>
      <c r="T17" s="196"/>
      <c r="U17" s="196"/>
      <c r="V17" s="196"/>
      <c r="W17" s="156"/>
      <c r="X17" s="156"/>
    </row>
    <row r="18" spans="2:24" s="5" customFormat="1" ht="23.25" customHeight="1" x14ac:dyDescent="0.3">
      <c r="B18" s="890" t="s">
        <v>421</v>
      </c>
      <c r="C18" s="890"/>
      <c r="D18" s="891" t="str">
        <f>Rapport!G31</f>
        <v xml:space="preserve">Sidi H’Sain Ou Ali </v>
      </c>
      <c r="E18" s="891"/>
      <c r="F18" s="891"/>
      <c r="G18" s="10"/>
      <c r="H18" s="10"/>
      <c r="I18" s="10"/>
      <c r="J18" s="10"/>
      <c r="K18" s="10"/>
      <c r="L18" s="10"/>
      <c r="M18" s="10"/>
      <c r="N18" s="230"/>
      <c r="O18" s="196"/>
      <c r="P18" s="196"/>
      <c r="Q18" s="196"/>
      <c r="R18" s="196"/>
      <c r="S18" s="196"/>
      <c r="T18" s="196"/>
      <c r="U18" s="196"/>
      <c r="V18" s="196"/>
      <c r="W18" s="156"/>
      <c r="X18" s="156"/>
    </row>
    <row r="19" spans="2:24" s="5" customFormat="1" ht="23.25" customHeight="1" x14ac:dyDescent="0.3">
      <c r="B19" s="890" t="s">
        <v>422</v>
      </c>
      <c r="C19" s="890"/>
      <c r="D19" s="891" t="str">
        <f>Rapport!G32</f>
        <v>Ifni</v>
      </c>
      <c r="E19" s="891"/>
      <c r="F19" s="891"/>
      <c r="G19" s="10"/>
      <c r="H19" s="10"/>
      <c r="I19" s="10"/>
      <c r="J19" s="10"/>
      <c r="K19" s="10"/>
      <c r="L19" s="10"/>
      <c r="M19" s="10"/>
      <c r="N19" s="230"/>
      <c r="O19" s="196"/>
      <c r="P19" s="196"/>
      <c r="Q19" s="196"/>
      <c r="R19" s="196"/>
      <c r="S19" s="196"/>
      <c r="T19" s="196"/>
      <c r="U19" s="196"/>
      <c r="V19" s="196"/>
      <c r="W19" s="156"/>
      <c r="X19" s="156"/>
    </row>
    <row r="20" spans="2:24" s="5" customFormat="1" ht="23.25" customHeight="1" x14ac:dyDescent="0.3">
      <c r="B20" s="890" t="s">
        <v>423</v>
      </c>
      <c r="C20" s="890"/>
      <c r="D20" s="891" t="str">
        <f>Rapport!G33</f>
        <v>Sidi Ifni</v>
      </c>
      <c r="E20" s="891"/>
      <c r="F20" s="891"/>
      <c r="G20" s="10"/>
      <c r="H20" s="10"/>
      <c r="I20" s="10"/>
      <c r="J20" s="10"/>
      <c r="K20" s="10"/>
      <c r="L20" s="10"/>
      <c r="M20" s="10"/>
      <c r="N20" s="230"/>
      <c r="O20" s="196"/>
      <c r="P20" s="196"/>
      <c r="Q20" s="196"/>
      <c r="R20" s="196"/>
      <c r="S20" s="196"/>
      <c r="T20" s="196"/>
      <c r="U20" s="196"/>
      <c r="V20" s="196"/>
      <c r="W20" s="156"/>
      <c r="X20" s="156"/>
    </row>
    <row r="21" spans="2:24" s="5" customFormat="1" ht="23.25" customHeight="1" x14ac:dyDescent="0.3">
      <c r="B21" s="10"/>
      <c r="C21" s="10"/>
      <c r="D21" s="10"/>
      <c r="E21" s="10"/>
      <c r="F21" s="10"/>
      <c r="G21" s="10"/>
      <c r="H21" s="10"/>
      <c r="I21" s="10"/>
      <c r="J21" s="10"/>
      <c r="K21" s="10"/>
      <c r="L21" s="10"/>
      <c r="M21" s="10"/>
      <c r="N21" s="230"/>
      <c r="O21" s="196"/>
      <c r="P21" s="196"/>
      <c r="Q21" s="196"/>
      <c r="R21" s="196"/>
      <c r="S21" s="196"/>
      <c r="T21" s="196"/>
      <c r="U21" s="196"/>
      <c r="V21" s="196"/>
      <c r="W21" s="156"/>
      <c r="X21" s="156"/>
    </row>
    <row r="22" spans="2:24" s="5" customFormat="1" ht="23.25" customHeight="1" x14ac:dyDescent="0.3">
      <c r="B22" s="262" t="s">
        <v>424</v>
      </c>
      <c r="C22" s="262"/>
      <c r="D22" s="262"/>
      <c r="E22" s="262"/>
      <c r="K22" s="900">
        <f>Rapport!G27</f>
        <v>30000</v>
      </c>
      <c r="L22" s="900"/>
      <c r="M22" s="900"/>
      <c r="N22" s="263"/>
      <c r="O22" s="196"/>
      <c r="P22" s="196"/>
      <c r="Q22" s="196"/>
      <c r="R22" s="196"/>
      <c r="S22" s="196"/>
      <c r="T22" s="196"/>
      <c r="U22" s="196"/>
      <c r="V22" s="196"/>
      <c r="W22" s="156"/>
      <c r="X22" s="156"/>
    </row>
    <row r="23" spans="2:24" s="5" customFormat="1" ht="23.25" customHeight="1" x14ac:dyDescent="0.3">
      <c r="B23" s="899" t="s">
        <v>425</v>
      </c>
      <c r="C23" s="899"/>
      <c r="D23" s="899"/>
      <c r="E23" s="899"/>
      <c r="F23" s="899"/>
      <c r="G23" s="899"/>
      <c r="H23" s="899"/>
      <c r="I23" s="899"/>
      <c r="J23" s="899"/>
      <c r="K23" s="900">
        <f>Rapport!G28</f>
        <v>29299.999999999996</v>
      </c>
      <c r="L23" s="900"/>
      <c r="M23" s="900"/>
      <c r="N23" s="196"/>
      <c r="O23" s="196"/>
      <c r="P23" s="196"/>
      <c r="Q23" s="196"/>
      <c r="R23" s="196"/>
      <c r="S23" s="196"/>
      <c r="T23" s="196"/>
      <c r="U23" s="196"/>
      <c r="V23" s="196"/>
      <c r="W23" s="156"/>
      <c r="X23" s="156"/>
    </row>
    <row r="24" spans="2:24" s="5" customFormat="1" ht="15.6" customHeight="1" x14ac:dyDescent="0.3">
      <c r="B24" s="9"/>
      <c r="C24" s="7"/>
      <c r="D24" s="7"/>
      <c r="E24" s="7"/>
      <c r="F24" s="7"/>
      <c r="G24" s="7"/>
      <c r="H24" s="7"/>
      <c r="I24" s="7"/>
      <c r="J24" s="7"/>
      <c r="K24" s="7"/>
      <c r="L24" s="7"/>
      <c r="M24" s="7"/>
      <c r="N24" s="231"/>
      <c r="O24" s="196"/>
      <c r="P24" s="196"/>
      <c r="Q24" s="196"/>
      <c r="R24" s="196"/>
      <c r="S24" s="196"/>
      <c r="T24" s="196"/>
      <c r="U24" s="196"/>
      <c r="V24" s="196"/>
      <c r="W24" s="156"/>
      <c r="X24" s="156"/>
    </row>
    <row r="25" spans="2:24" s="5" customFormat="1" ht="15.6" customHeight="1" x14ac:dyDescent="0.3">
      <c r="B25" s="9"/>
      <c r="C25" s="7"/>
      <c r="D25" s="7"/>
      <c r="E25" s="7"/>
      <c r="F25" s="7"/>
      <c r="G25" s="7"/>
      <c r="H25" s="7"/>
      <c r="I25" s="7"/>
      <c r="J25" s="7"/>
      <c r="K25" s="7"/>
      <c r="L25" s="7"/>
      <c r="M25" s="7"/>
      <c r="N25" s="231"/>
      <c r="O25" s="196"/>
      <c r="P25" s="196"/>
      <c r="Q25" s="196"/>
      <c r="R25" s="196"/>
      <c r="S25" s="196"/>
      <c r="T25" s="196"/>
      <c r="U25" s="196"/>
      <c r="V25" s="196"/>
      <c r="W25" s="156"/>
      <c r="X25" s="156"/>
    </row>
    <row r="26" spans="2:24" s="5" customFormat="1" ht="15.6" customHeight="1" x14ac:dyDescent="0.3">
      <c r="B26" s="9"/>
      <c r="C26" s="7"/>
      <c r="D26" s="7"/>
      <c r="E26" s="7"/>
      <c r="F26" s="7"/>
      <c r="G26" s="7"/>
      <c r="H26" s="7"/>
      <c r="I26" s="7"/>
      <c r="J26" s="7"/>
      <c r="K26" s="7"/>
      <c r="L26" s="7"/>
      <c r="M26" s="7"/>
      <c r="N26" s="231"/>
      <c r="O26" s="196"/>
      <c r="P26" s="196"/>
      <c r="Q26" s="196"/>
      <c r="R26" s="196"/>
      <c r="S26" s="196"/>
      <c r="T26" s="196"/>
      <c r="U26" s="196"/>
      <c r="V26" s="196"/>
      <c r="W26" s="156"/>
      <c r="X26" s="156"/>
    </row>
    <row r="27" spans="2:24" s="5" customFormat="1" ht="15" customHeight="1" x14ac:dyDescent="0.3">
      <c r="B27" s="9"/>
      <c r="C27" s="7"/>
      <c r="D27" s="7"/>
      <c r="E27" s="7"/>
      <c r="F27" s="7"/>
      <c r="G27" s="7"/>
      <c r="H27" s="7"/>
      <c r="I27" s="7"/>
      <c r="J27" s="7"/>
      <c r="K27" s="7"/>
      <c r="L27" s="7"/>
      <c r="M27" s="7"/>
      <c r="N27" s="231"/>
      <c r="O27" s="196"/>
      <c r="P27" s="196"/>
      <c r="Q27" s="196"/>
      <c r="R27" s="196"/>
      <c r="S27" s="196"/>
      <c r="T27" s="196"/>
      <c r="U27" s="196"/>
      <c r="V27" s="196"/>
      <c r="W27" s="156"/>
      <c r="X27" s="156"/>
    </row>
    <row r="28" spans="2:24" s="5" customFormat="1" ht="19.5" customHeight="1" x14ac:dyDescent="0.35">
      <c r="B28" s="267"/>
      <c r="C28" s="267"/>
      <c r="D28" s="267"/>
      <c r="E28" s="267"/>
      <c r="F28" s="267"/>
      <c r="G28" s="898" t="s">
        <v>427</v>
      </c>
      <c r="H28" s="898"/>
      <c r="I28" s="898"/>
      <c r="J28" s="898"/>
      <c r="K28" s="901"/>
      <c r="L28" s="901"/>
      <c r="M28" s="901"/>
      <c r="Q28" s="196"/>
      <c r="R28" s="196"/>
      <c r="S28" s="196"/>
      <c r="T28" s="196"/>
      <c r="U28" s="196"/>
      <c r="V28" s="196"/>
      <c r="W28" s="156"/>
      <c r="X28" s="156"/>
    </row>
    <row r="29" spans="2:24" s="5" customFormat="1" ht="19.5" customHeight="1" x14ac:dyDescent="0.35">
      <c r="B29" s="267"/>
      <c r="C29" s="267"/>
      <c r="D29" s="267"/>
      <c r="E29" s="267"/>
      <c r="F29" s="267"/>
      <c r="G29" s="267"/>
      <c r="N29" s="268"/>
      <c r="O29" s="196"/>
      <c r="P29" s="196"/>
      <c r="Q29" s="196"/>
      <c r="R29" s="196"/>
      <c r="S29" s="196"/>
      <c r="T29" s="196"/>
      <c r="U29" s="196"/>
      <c r="V29" s="196"/>
      <c r="W29" s="156"/>
      <c r="X29" s="156"/>
    </row>
    <row r="30" spans="2:24" s="5" customFormat="1" ht="19.5" customHeight="1" x14ac:dyDescent="0.35">
      <c r="B30" s="6"/>
      <c r="C30" s="10"/>
      <c r="D30" s="10"/>
      <c r="E30" s="10"/>
      <c r="L30" s="267"/>
      <c r="M30" s="267"/>
      <c r="N30" s="268"/>
      <c r="O30" s="196"/>
      <c r="P30" s="196"/>
      <c r="Q30" s="196"/>
      <c r="R30" s="196"/>
      <c r="S30" s="196"/>
      <c r="T30" s="196"/>
      <c r="U30" s="196"/>
      <c r="V30" s="196"/>
      <c r="W30" s="156"/>
      <c r="X30" s="156"/>
    </row>
    <row r="31" spans="2:24" s="5" customFormat="1" ht="15.6" customHeight="1" x14ac:dyDescent="0.35">
      <c r="B31" s="269"/>
      <c r="C31" s="267"/>
      <c r="D31" s="267"/>
      <c r="E31" s="267"/>
      <c r="F31" s="267"/>
      <c r="G31" s="267"/>
      <c r="H31" s="267"/>
      <c r="I31" s="267"/>
      <c r="J31" s="267"/>
      <c r="K31" s="267"/>
      <c r="L31" s="267"/>
      <c r="M31" s="267"/>
      <c r="N31" s="268"/>
      <c r="O31" s="196"/>
      <c r="P31" s="196"/>
      <c r="Q31" s="196"/>
      <c r="R31" s="196"/>
      <c r="S31" s="196"/>
      <c r="T31" s="196"/>
      <c r="U31" s="196"/>
      <c r="V31" s="196"/>
      <c r="W31" s="156"/>
      <c r="X31" s="156"/>
    </row>
    <row r="32" spans="2:24" s="5" customFormat="1" ht="21.75" customHeight="1" x14ac:dyDescent="0.35">
      <c r="B32" s="6"/>
      <c r="C32" s="899" t="s">
        <v>426</v>
      </c>
      <c r="D32" s="899"/>
      <c r="E32" s="899"/>
      <c r="F32" s="899"/>
      <c r="G32" s="899"/>
      <c r="H32" s="10"/>
      <c r="N32" s="268"/>
      <c r="O32" s="196"/>
      <c r="P32" s="196"/>
      <c r="Q32" s="196"/>
      <c r="R32" s="196"/>
      <c r="S32" s="196"/>
      <c r="T32" s="196"/>
      <c r="U32" s="196"/>
      <c r="V32" s="196"/>
      <c r="W32" s="156"/>
      <c r="X32" s="156"/>
    </row>
    <row r="33" spans="1:30" s="5" customFormat="1" ht="20.25" customHeight="1" x14ac:dyDescent="0.35">
      <c r="B33" s="270"/>
      <c r="C33" s="267"/>
      <c r="D33" s="267"/>
      <c r="E33" s="267"/>
      <c r="F33" s="267"/>
      <c r="G33" s="267"/>
      <c r="H33" s="267"/>
      <c r="I33" s="267"/>
      <c r="J33" s="267"/>
      <c r="K33" s="267"/>
      <c r="L33" s="267"/>
      <c r="M33" s="267"/>
      <c r="N33" s="268"/>
      <c r="O33" s="196"/>
      <c r="P33" s="196"/>
      <c r="Q33" s="196"/>
      <c r="R33" s="196"/>
      <c r="S33" s="196"/>
      <c r="T33" s="196"/>
      <c r="U33" s="196"/>
      <c r="V33" s="196"/>
      <c r="W33" s="156"/>
      <c r="X33" s="156"/>
    </row>
    <row r="34" spans="1:30" s="5" customFormat="1" ht="15.6" customHeight="1" x14ac:dyDescent="0.35">
      <c r="A34" s="270"/>
      <c r="B34" s="267"/>
      <c r="C34" s="267"/>
      <c r="D34" s="267"/>
      <c r="E34" s="267"/>
      <c r="F34" s="267"/>
      <c r="G34" s="267"/>
      <c r="H34" s="267"/>
      <c r="I34" s="267"/>
      <c r="J34" s="267"/>
      <c r="K34" s="267"/>
      <c r="L34" s="267"/>
      <c r="M34" s="267"/>
      <c r="N34" s="196"/>
      <c r="O34" s="196"/>
      <c r="P34" s="196"/>
      <c r="Q34" s="196"/>
      <c r="R34" s="196"/>
      <c r="S34" s="196"/>
      <c r="T34" s="196"/>
      <c r="U34" s="196"/>
      <c r="V34" s="196"/>
      <c r="W34" s="195"/>
      <c r="X34" s="195"/>
      <c r="Y34" s="8"/>
      <c r="Z34" s="8"/>
      <c r="AA34" s="8"/>
      <c r="AB34" s="8"/>
      <c r="AC34" s="8"/>
      <c r="AD34" s="8"/>
    </row>
    <row r="35" spans="1:30" s="5" customFormat="1" ht="20.25" customHeight="1" x14ac:dyDescent="0.35">
      <c r="A35" s="270"/>
      <c r="B35" s="267"/>
      <c r="C35" s="267"/>
      <c r="D35" s="267"/>
      <c r="E35" s="267"/>
      <c r="L35" s="267"/>
      <c r="M35" s="267"/>
      <c r="N35" s="196"/>
      <c r="O35" s="196"/>
      <c r="P35" s="196"/>
      <c r="Q35" s="196"/>
      <c r="R35" s="196"/>
      <c r="S35" s="196"/>
      <c r="T35" s="196"/>
      <c r="U35" s="196"/>
      <c r="V35" s="196"/>
      <c r="W35" s="195"/>
      <c r="X35" s="195"/>
      <c r="Y35" s="8"/>
      <c r="Z35" s="8"/>
      <c r="AA35" s="8"/>
      <c r="AB35" s="8"/>
      <c r="AC35" s="8"/>
      <c r="AD35" s="8"/>
    </row>
    <row r="36" spans="1:30" s="5" customFormat="1" ht="15.6" customHeight="1" x14ac:dyDescent="0.3">
      <c r="A36" s="9"/>
      <c r="B36" s="7"/>
      <c r="C36" s="7"/>
      <c r="D36" s="7"/>
      <c r="E36" s="7"/>
      <c r="F36" s="7"/>
      <c r="G36" s="7"/>
      <c r="H36" s="7"/>
      <c r="I36" s="7"/>
      <c r="J36" s="7"/>
      <c r="K36" s="7"/>
      <c r="L36" s="7"/>
      <c r="M36" s="7"/>
      <c r="N36" s="196"/>
      <c r="O36" s="196"/>
      <c r="P36" s="196"/>
      <c r="Q36" s="196"/>
      <c r="R36" s="196"/>
      <c r="S36" s="196"/>
      <c r="T36" s="196"/>
      <c r="U36" s="196"/>
      <c r="V36" s="196"/>
      <c r="W36" s="195"/>
      <c r="X36" s="195"/>
      <c r="Y36" s="8"/>
      <c r="Z36" s="8"/>
      <c r="AA36" s="8"/>
      <c r="AB36" s="8"/>
      <c r="AC36" s="8"/>
      <c r="AD36" s="8"/>
    </row>
    <row r="39" spans="1:30" ht="27" customHeight="1" x14ac:dyDescent="0.3">
      <c r="B39" s="770" t="s">
        <v>445</v>
      </c>
      <c r="C39" s="897"/>
      <c r="D39" s="897"/>
      <c r="E39" s="897"/>
      <c r="F39" s="897"/>
      <c r="G39" s="897"/>
      <c r="H39" s="897"/>
      <c r="I39" s="897"/>
      <c r="J39" s="897"/>
      <c r="K39" s="897"/>
      <c r="L39" s="897"/>
    </row>
    <row r="40" spans="1:30" ht="27" customHeight="1" x14ac:dyDescent="0.3">
      <c r="B40" s="897"/>
      <c r="C40" s="897"/>
      <c r="D40" s="897"/>
      <c r="E40" s="897"/>
      <c r="F40" s="897"/>
      <c r="G40" s="897"/>
      <c r="H40" s="897"/>
      <c r="I40" s="897"/>
      <c r="J40" s="897"/>
      <c r="K40" s="897"/>
      <c r="L40" s="897"/>
    </row>
  </sheetData>
  <mergeCells count="24">
    <mergeCell ref="B39:L40"/>
    <mergeCell ref="G28:J28"/>
    <mergeCell ref="C32:G32"/>
    <mergeCell ref="B18:C18"/>
    <mergeCell ref="K22:M22"/>
    <mergeCell ref="B23:J23"/>
    <mergeCell ref="K23:M23"/>
    <mergeCell ref="D19:F19"/>
    <mergeCell ref="B20:C20"/>
    <mergeCell ref="D20:F20"/>
    <mergeCell ref="K28:M28"/>
    <mergeCell ref="D18:F18"/>
    <mergeCell ref="B19:C19"/>
    <mergeCell ref="B17:C17"/>
    <mergeCell ref="D17:F17"/>
    <mergeCell ref="A4:M4"/>
    <mergeCell ref="B8:L8"/>
    <mergeCell ref="D13:J13"/>
    <mergeCell ref="B16:N16"/>
    <mergeCell ref="D11:G11"/>
    <mergeCell ref="D12:G12"/>
    <mergeCell ref="D14:J14"/>
    <mergeCell ref="D15:J15"/>
    <mergeCell ref="D10:H10"/>
  </mergeCells>
  <pageMargins left="0.25" right="0.25" top="0.75" bottom="0.75" header="0.3" footer="0.3"/>
  <pageSetup paperSize="9" scale="88" fitToWidth="0" orientation="portrait" r:id="rId1"/>
  <headerFooter>
    <oddFooter>&amp;C&amp;"Times New Roman,Gras"&amp;K002060Siege social : BV EL MOUKAWAMA IMM ANNASR 2éme étage GUERCIF - Patente N°15803083 -IF N°50191227 -
Cnss N°2582077 - ICE N°002742045000035 - Email : agriculturezoubaa@gmail.com Tél : 0662044762</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pageSetUpPr fitToPage="1"/>
  </sheetPr>
  <dimension ref="A1:AD39"/>
  <sheetViews>
    <sheetView view="pageBreakPreview" zoomScaleNormal="100" zoomScaleSheetLayoutView="100" workbookViewId="0">
      <selection activeCell="D25" sqref="D25:H25"/>
    </sheetView>
  </sheetViews>
  <sheetFormatPr defaultColWidth="7.109375" defaultRowHeight="14.4" x14ac:dyDescent="0.3"/>
  <cols>
    <col min="1" max="1" width="10.5546875" customWidth="1"/>
    <col min="2" max="2" width="10.88671875" customWidth="1"/>
    <col min="3" max="3" width="14.33203125" customWidth="1"/>
    <col min="14" max="14" width="11.44140625" customWidth="1"/>
  </cols>
  <sheetData>
    <row r="1" spans="1:30" s="5" customFormat="1" ht="53.25" customHeight="1" x14ac:dyDescent="0.3">
      <c r="A1" s="908" t="s">
        <v>428</v>
      </c>
      <c r="B1" s="719"/>
      <c r="C1" s="719"/>
      <c r="D1" s="719"/>
      <c r="E1" s="719"/>
      <c r="F1" s="719"/>
      <c r="G1" s="719"/>
      <c r="H1" s="719"/>
      <c r="I1" s="719"/>
      <c r="J1" s="719"/>
      <c r="K1" s="719"/>
      <c r="L1" s="719"/>
      <c r="M1" s="719"/>
      <c r="N1" s="196"/>
      <c r="O1" s="196"/>
      <c r="P1" s="196"/>
      <c r="Q1" s="196"/>
      <c r="R1" s="196"/>
      <c r="S1" s="196"/>
      <c r="T1" s="196"/>
      <c r="U1" s="196"/>
      <c r="V1" s="196"/>
      <c r="W1" s="195"/>
      <c r="X1" s="195"/>
      <c r="Y1" s="8"/>
      <c r="Z1" s="8"/>
      <c r="AA1" s="8"/>
      <c r="AB1" s="8"/>
      <c r="AC1" s="8"/>
      <c r="AD1" s="8"/>
    </row>
    <row r="2" spans="1:30" s="5" customFormat="1" ht="12.75" customHeight="1" x14ac:dyDescent="0.3">
      <c r="A2" s="9"/>
      <c r="B2" s="7"/>
      <c r="C2" s="7"/>
      <c r="D2" s="7"/>
      <c r="E2" s="7"/>
      <c r="F2" s="7"/>
      <c r="G2" s="271"/>
      <c r="H2" s="7"/>
      <c r="I2" s="7"/>
      <c r="J2" s="7"/>
      <c r="K2" s="7"/>
      <c r="L2" s="7"/>
      <c r="M2" s="7"/>
      <c r="N2" s="196"/>
      <c r="O2" s="196"/>
      <c r="P2" s="196"/>
      <c r="Q2" s="196"/>
      <c r="R2" s="196"/>
      <c r="S2" s="196"/>
      <c r="T2" s="196"/>
      <c r="U2" s="196"/>
      <c r="V2" s="196"/>
      <c r="W2" s="195"/>
      <c r="X2" s="195"/>
      <c r="Y2" s="8"/>
      <c r="Z2" s="8"/>
      <c r="AA2" s="8"/>
      <c r="AB2" s="8"/>
      <c r="AC2" s="8"/>
      <c r="AD2" s="8"/>
    </row>
    <row r="3" spans="1:30" s="5" customFormat="1" ht="12.75" customHeight="1" x14ac:dyDescent="0.3">
      <c r="A3" s="9"/>
      <c r="B3" s="7"/>
      <c r="C3" s="7"/>
      <c r="D3" s="7"/>
      <c r="E3" s="7"/>
      <c r="F3" s="7"/>
      <c r="G3" s="7"/>
      <c r="H3" s="7"/>
      <c r="I3" s="7"/>
      <c r="J3" s="7"/>
      <c r="K3" s="7"/>
      <c r="L3" s="7"/>
      <c r="M3" s="7"/>
      <c r="N3" s="196"/>
      <c r="O3" s="196"/>
      <c r="P3" s="196"/>
      <c r="Q3" s="196"/>
      <c r="R3" s="196"/>
      <c r="S3" s="196"/>
      <c r="T3" s="196"/>
      <c r="U3" s="196"/>
      <c r="V3" s="196"/>
      <c r="W3" s="195"/>
      <c r="X3" s="195"/>
      <c r="Y3" s="8"/>
      <c r="Z3" s="8"/>
      <c r="AA3" s="8"/>
      <c r="AB3" s="8"/>
      <c r="AC3" s="8"/>
      <c r="AD3" s="8"/>
    </row>
    <row r="4" spans="1:30" s="5" customFormat="1" ht="20.25" customHeight="1" x14ac:dyDescent="0.3">
      <c r="B4" s="862" t="s">
        <v>429</v>
      </c>
      <c r="C4" s="862"/>
      <c r="D4" s="862"/>
      <c r="E4" s="862"/>
      <c r="F4" s="862"/>
      <c r="G4" s="862"/>
      <c r="H4" s="862"/>
      <c r="I4" s="862"/>
      <c r="J4" s="862"/>
      <c r="K4" s="862"/>
      <c r="L4" s="862"/>
      <c r="M4" s="272"/>
      <c r="N4" s="273"/>
      <c r="O4" s="196"/>
      <c r="P4" s="196"/>
      <c r="Q4" s="196"/>
      <c r="R4" s="196"/>
      <c r="S4" s="196"/>
      <c r="T4" s="196"/>
      <c r="U4" s="196"/>
      <c r="V4" s="196"/>
      <c r="W4" s="156"/>
      <c r="X4" s="156"/>
    </row>
    <row r="5" spans="1:30" s="5" customFormat="1" ht="11.25" customHeight="1" x14ac:dyDescent="0.3">
      <c r="B5" s="274"/>
      <c r="C5" s="272"/>
      <c r="D5" s="272"/>
      <c r="E5" s="272"/>
      <c r="F5" s="272"/>
      <c r="G5" s="272"/>
      <c r="H5" s="272"/>
      <c r="I5" s="272"/>
      <c r="J5" s="272"/>
      <c r="K5" s="272"/>
      <c r="L5" s="272"/>
      <c r="M5" s="272"/>
      <c r="N5" s="273"/>
      <c r="O5" s="196"/>
      <c r="P5" s="196"/>
      <c r="Q5" s="196"/>
      <c r="R5" s="196"/>
      <c r="S5" s="196"/>
      <c r="T5" s="196"/>
      <c r="U5" s="196"/>
      <c r="V5" s="196"/>
      <c r="W5" s="156"/>
      <c r="X5" s="156"/>
    </row>
    <row r="6" spans="1:30" s="5" customFormat="1" ht="37.5" customHeight="1" x14ac:dyDescent="0.3">
      <c r="B6" s="56" t="s">
        <v>444</v>
      </c>
      <c r="C6" s="56"/>
      <c r="D6" s="868" t="str">
        <f>Rapport!G21</f>
        <v>Mr. Ahmed Bouirdne</v>
      </c>
      <c r="E6" s="868"/>
      <c r="F6" s="868"/>
      <c r="G6" s="868"/>
      <c r="H6" s="868" t="str">
        <f>Rapport!G24</f>
        <v>JD54766</v>
      </c>
      <c r="I6" s="868"/>
      <c r="J6" s="26"/>
      <c r="K6" s="26"/>
      <c r="L6" s="26"/>
      <c r="M6" s="26"/>
      <c r="N6" s="26"/>
      <c r="O6" s="196"/>
      <c r="P6" s="196"/>
      <c r="Q6" s="196"/>
      <c r="R6" s="196"/>
      <c r="S6" s="196"/>
      <c r="T6" s="196"/>
      <c r="U6" s="196"/>
      <c r="V6" s="196"/>
      <c r="W6" s="156"/>
      <c r="X6" s="156"/>
    </row>
    <row r="7" spans="1:30" s="5" customFormat="1" ht="20.25" hidden="1" customHeight="1" x14ac:dyDescent="0.3">
      <c r="B7" s="56"/>
      <c r="C7" s="56"/>
      <c r="D7" s="909" t="str">
        <f>Rapport!G22</f>
        <v>Mr. Mostapha Zoubaa</v>
      </c>
      <c r="E7" s="909"/>
      <c r="F7" s="909"/>
      <c r="G7" s="909"/>
      <c r="H7" s="909" t="str">
        <f>Rapport!G25</f>
        <v>LF27997</v>
      </c>
      <c r="I7" s="909"/>
      <c r="J7" s="909"/>
      <c r="K7" s="909"/>
      <c r="L7" s="909"/>
      <c r="M7" s="909"/>
      <c r="N7" s="909"/>
      <c r="O7" s="196"/>
      <c r="P7" s="196"/>
      <c r="Q7" s="196"/>
      <c r="R7" s="196"/>
      <c r="S7" s="196"/>
      <c r="T7" s="196"/>
      <c r="U7" s="196"/>
      <c r="V7" s="196"/>
      <c r="W7" s="156"/>
      <c r="X7" s="156"/>
    </row>
    <row r="8" spans="1:30" s="5" customFormat="1" ht="20.25" hidden="1" customHeight="1" x14ac:dyDescent="0.3">
      <c r="B8" s="56"/>
      <c r="C8" s="56"/>
      <c r="D8" s="909" t="str">
        <f>Rapport!G23</f>
        <v>Mme. Fatima Zoubaa</v>
      </c>
      <c r="E8" s="909"/>
      <c r="F8" s="909"/>
      <c r="G8" s="909"/>
      <c r="H8" s="909" t="str">
        <f>Rapport!G26</f>
        <v>S649496</v>
      </c>
      <c r="I8" s="909"/>
      <c r="J8" s="909"/>
      <c r="K8" s="909"/>
      <c r="L8" s="909"/>
      <c r="M8" s="909"/>
      <c r="N8" s="909"/>
      <c r="O8" s="196"/>
      <c r="P8" s="196"/>
      <c r="Q8" s="196"/>
      <c r="R8" s="196"/>
      <c r="S8" s="196"/>
      <c r="T8" s="196"/>
      <c r="U8" s="196"/>
      <c r="V8" s="196"/>
      <c r="W8" s="156"/>
      <c r="X8" s="156"/>
    </row>
    <row r="9" spans="1:30" s="5" customFormat="1" ht="9.75" hidden="1" customHeight="1" x14ac:dyDescent="0.3">
      <c r="B9" s="56"/>
      <c r="C9" s="56"/>
      <c r="D9" s="259"/>
      <c r="E9" s="259"/>
      <c r="F9" s="259"/>
      <c r="G9" s="259"/>
      <c r="H9" s="275"/>
      <c r="I9" s="56"/>
      <c r="J9" s="56"/>
      <c r="K9" s="56"/>
      <c r="L9" s="56"/>
      <c r="M9" s="56"/>
      <c r="N9" s="196"/>
      <c r="O9" s="196"/>
      <c r="P9" s="196"/>
      <c r="Q9" s="196"/>
      <c r="R9" s="196"/>
      <c r="S9" s="196"/>
      <c r="T9" s="196"/>
      <c r="U9" s="196"/>
      <c r="V9" s="196"/>
      <c r="W9" s="156"/>
      <c r="X9" s="156"/>
    </row>
    <row r="10" spans="1:30" s="5" customFormat="1" ht="7.5" hidden="1" customHeight="1" x14ac:dyDescent="0.3">
      <c r="B10" s="56"/>
      <c r="C10" s="56"/>
      <c r="D10" s="276"/>
      <c r="E10" s="276"/>
      <c r="F10" s="276"/>
      <c r="G10" s="276"/>
      <c r="H10" s="276"/>
      <c r="I10" s="276"/>
      <c r="J10" s="276"/>
      <c r="K10" s="56"/>
      <c r="L10" s="56"/>
      <c r="M10" s="56"/>
      <c r="N10" s="196"/>
      <c r="O10" s="196"/>
      <c r="P10" s="196"/>
      <c r="Q10" s="196"/>
      <c r="R10" s="196"/>
      <c r="S10" s="196"/>
      <c r="T10" s="196"/>
      <c r="U10" s="196"/>
      <c r="V10" s="196"/>
      <c r="W10" s="156"/>
      <c r="X10" s="156"/>
    </row>
    <row r="11" spans="1:30" s="5" customFormat="1" ht="20.25" customHeight="1" x14ac:dyDescent="0.3">
      <c r="B11" s="700" t="s">
        <v>430</v>
      </c>
      <c r="C11" s="700"/>
      <c r="D11" s="700"/>
      <c r="E11" s="56"/>
      <c r="F11" s="56"/>
      <c r="G11" s="56"/>
      <c r="H11" s="56"/>
      <c r="I11" s="56"/>
      <c r="J11" s="56"/>
      <c r="K11" s="56"/>
      <c r="L11" s="56"/>
      <c r="M11" s="56"/>
      <c r="N11" s="56"/>
      <c r="O11" s="196"/>
      <c r="P11" s="196"/>
      <c r="Q11" s="196"/>
      <c r="R11" s="196"/>
      <c r="S11" s="196"/>
      <c r="T11" s="196"/>
      <c r="U11" s="196"/>
      <c r="V11" s="196"/>
      <c r="W11" s="156"/>
      <c r="X11" s="156"/>
    </row>
    <row r="12" spans="1:30" s="5" customFormat="1" ht="20.25" hidden="1" customHeight="1" x14ac:dyDescent="0.3">
      <c r="B12" s="700" t="s">
        <v>420</v>
      </c>
      <c r="C12" s="700"/>
      <c r="D12" s="760" t="str">
        <f>Rapport!G30</f>
        <v>Toufgnit</v>
      </c>
      <c r="E12" s="760"/>
      <c r="F12" s="760"/>
      <c r="G12" s="56"/>
      <c r="H12" s="56"/>
      <c r="I12" s="56"/>
      <c r="J12" s="56"/>
      <c r="K12" s="56"/>
      <c r="L12" s="56"/>
      <c r="M12" s="56"/>
      <c r="N12" s="196"/>
      <c r="O12" s="196"/>
      <c r="P12" s="196"/>
      <c r="Q12" s="196"/>
      <c r="R12" s="196"/>
      <c r="S12" s="196"/>
      <c r="T12" s="196"/>
      <c r="U12" s="196"/>
      <c r="V12" s="196"/>
      <c r="W12" s="156"/>
      <c r="X12" s="156"/>
    </row>
    <row r="13" spans="1:30" s="5" customFormat="1" ht="20.25" customHeight="1" x14ac:dyDescent="0.3">
      <c r="B13" s="700" t="s">
        <v>421</v>
      </c>
      <c r="C13" s="700"/>
      <c r="D13" s="760" t="str">
        <f>Rapport!G31</f>
        <v xml:space="preserve">Sidi H’Sain Ou Ali </v>
      </c>
      <c r="E13" s="760"/>
      <c r="F13" s="760"/>
      <c r="G13" s="56"/>
      <c r="H13" s="56"/>
      <c r="I13" s="56"/>
      <c r="J13" s="56"/>
      <c r="K13" s="56"/>
      <c r="L13" s="56"/>
      <c r="M13" s="56"/>
      <c r="N13" s="196"/>
      <c r="O13" s="196"/>
      <c r="P13" s="196"/>
      <c r="Q13" s="196"/>
      <c r="R13" s="196"/>
      <c r="S13" s="196"/>
      <c r="T13" s="196"/>
      <c r="U13" s="196"/>
      <c r="V13" s="196"/>
      <c r="W13" s="156"/>
      <c r="X13" s="156"/>
    </row>
    <row r="14" spans="1:30" s="5" customFormat="1" ht="20.25" customHeight="1" x14ac:dyDescent="0.3">
      <c r="B14" s="700" t="s">
        <v>422</v>
      </c>
      <c r="C14" s="700"/>
      <c r="D14" s="760" t="str">
        <f>Rapport!G32</f>
        <v>Ifni</v>
      </c>
      <c r="E14" s="760"/>
      <c r="F14" s="760"/>
      <c r="G14" s="56"/>
      <c r="H14" s="56"/>
      <c r="I14" s="56"/>
      <c r="J14" s="56"/>
      <c r="K14" s="56"/>
      <c r="L14" s="56"/>
      <c r="M14" s="56"/>
      <c r="N14" s="196"/>
      <c r="O14" s="196"/>
      <c r="P14" s="196"/>
      <c r="Q14" s="196"/>
      <c r="R14" s="196"/>
      <c r="S14" s="196"/>
      <c r="T14" s="196"/>
      <c r="U14" s="196"/>
      <c r="V14" s="196"/>
      <c r="W14" s="156"/>
      <c r="X14" s="156"/>
    </row>
    <row r="15" spans="1:30" s="5" customFormat="1" ht="20.25" customHeight="1" x14ac:dyDescent="0.3">
      <c r="B15" s="700" t="s">
        <v>423</v>
      </c>
      <c r="C15" s="700"/>
      <c r="D15" s="760" t="str">
        <f>Rapport!G33</f>
        <v>Sidi Ifni</v>
      </c>
      <c r="E15" s="760"/>
      <c r="F15" s="760"/>
      <c r="G15" s="56"/>
      <c r="H15" s="56"/>
      <c r="I15" s="56"/>
      <c r="J15" s="56"/>
      <c r="K15" s="56"/>
      <c r="L15" s="56"/>
      <c r="M15" s="56"/>
      <c r="N15" s="196"/>
      <c r="O15" s="196"/>
      <c r="P15" s="196"/>
      <c r="Q15" s="196"/>
      <c r="R15" s="196"/>
      <c r="S15" s="196"/>
      <c r="T15" s="196"/>
      <c r="U15" s="196"/>
      <c r="V15" s="196"/>
      <c r="W15" s="156"/>
      <c r="X15" s="156"/>
    </row>
    <row r="16" spans="1:30" s="5" customFormat="1" ht="20.25" customHeight="1" x14ac:dyDescent="0.3">
      <c r="B16" s="56"/>
      <c r="C16" s="56"/>
      <c r="D16" s="56"/>
      <c r="E16" s="56"/>
      <c r="F16" s="56"/>
      <c r="G16" s="56"/>
      <c r="H16" s="56"/>
      <c r="I16" s="56"/>
      <c r="J16" s="56"/>
      <c r="K16" s="56"/>
      <c r="L16" s="56"/>
      <c r="M16" s="56"/>
      <c r="N16" s="196"/>
      <c r="O16" s="196"/>
      <c r="P16" s="196"/>
      <c r="Q16" s="196"/>
      <c r="R16" s="196"/>
      <c r="S16" s="196"/>
      <c r="T16" s="196"/>
      <c r="U16" s="196"/>
      <c r="V16" s="196"/>
      <c r="W16" s="156"/>
      <c r="X16" s="156"/>
    </row>
    <row r="17" spans="2:24" s="5" customFormat="1" ht="60" customHeight="1" x14ac:dyDescent="0.3">
      <c r="B17" s="770" t="s">
        <v>431</v>
      </c>
      <c r="C17" s="770"/>
      <c r="D17" s="770"/>
      <c r="E17" s="770"/>
      <c r="F17" s="770"/>
      <c r="G17" s="770"/>
      <c r="H17" s="770"/>
      <c r="I17" s="770"/>
      <c r="J17" s="770"/>
      <c r="K17" s="770"/>
      <c r="L17" s="770"/>
      <c r="M17" s="277"/>
      <c r="N17" s="273"/>
      <c r="O17" s="196"/>
      <c r="P17" s="196"/>
      <c r="Q17" s="196"/>
      <c r="R17" s="196"/>
      <c r="S17" s="196"/>
      <c r="T17" s="196"/>
      <c r="U17" s="196"/>
      <c r="V17" s="196"/>
      <c r="W17" s="156"/>
      <c r="X17" s="156"/>
    </row>
    <row r="18" spans="2:24" s="5" customFormat="1" ht="20.25" customHeight="1" x14ac:dyDescent="0.3">
      <c r="B18" s="56"/>
      <c r="C18" s="56"/>
      <c r="D18" s="56"/>
      <c r="E18" s="56"/>
      <c r="F18" s="56"/>
      <c r="G18" s="56"/>
      <c r="H18" s="56"/>
      <c r="I18" s="56"/>
      <c r="J18" s="56"/>
      <c r="K18" s="277"/>
      <c r="L18" s="277"/>
      <c r="M18" s="277"/>
      <c r="N18" s="196"/>
      <c r="O18" s="196"/>
      <c r="P18" s="196"/>
      <c r="Q18" s="196"/>
      <c r="R18" s="196"/>
      <c r="S18" s="196"/>
      <c r="T18" s="196"/>
      <c r="U18" s="196"/>
      <c r="V18" s="196"/>
      <c r="W18" s="156"/>
      <c r="X18" s="156"/>
    </row>
    <row r="19" spans="2:24" s="5" customFormat="1" ht="20.25" customHeight="1" x14ac:dyDescent="0.3">
      <c r="B19" s="700" t="s">
        <v>432</v>
      </c>
      <c r="C19" s="700"/>
      <c r="D19" s="902" t="str">
        <f>Rapport!E117</f>
        <v>Forage</v>
      </c>
      <c r="E19" s="902"/>
      <c r="F19" s="902"/>
      <c r="G19" s="902"/>
      <c r="H19" s="902"/>
      <c r="I19" s="7"/>
      <c r="J19" s="7"/>
      <c r="K19" s="7"/>
      <c r="L19" s="7"/>
      <c r="M19" s="7"/>
      <c r="N19" s="231"/>
      <c r="O19" s="196"/>
      <c r="P19" s="196"/>
      <c r="Q19" s="196"/>
      <c r="R19" s="196"/>
      <c r="S19" s="196"/>
      <c r="T19" s="196"/>
      <c r="U19" s="196"/>
      <c r="V19" s="196"/>
      <c r="W19" s="156"/>
      <c r="X19" s="156"/>
    </row>
    <row r="20" spans="2:24" s="5" customFormat="1" ht="20.25" customHeight="1" x14ac:dyDescent="0.3">
      <c r="B20" s="700" t="s">
        <v>433</v>
      </c>
      <c r="C20" s="700"/>
      <c r="D20" s="902" t="str">
        <f>CONCATENATE(Rapport!E119," ",Rapport!E120)</f>
        <v>84808 274480</v>
      </c>
      <c r="E20" s="902"/>
      <c r="F20" s="902"/>
      <c r="G20" s="902"/>
      <c r="H20" s="902"/>
      <c r="I20" s="7"/>
      <c r="J20" s="7"/>
      <c r="K20" s="7"/>
      <c r="L20" s="7"/>
      <c r="M20" s="7"/>
      <c r="N20" s="231"/>
      <c r="O20" s="196"/>
      <c r="P20" s="196"/>
      <c r="Q20" s="196"/>
      <c r="R20" s="196"/>
      <c r="S20" s="196"/>
      <c r="T20" s="196"/>
      <c r="U20" s="196"/>
      <c r="V20" s="196"/>
      <c r="W20" s="156"/>
      <c r="X20" s="156"/>
    </row>
    <row r="21" spans="2:24" s="5" customFormat="1" ht="20.25" customHeight="1" x14ac:dyDescent="0.3">
      <c r="B21" s="700" t="s">
        <v>434</v>
      </c>
      <c r="C21" s="700"/>
      <c r="D21" s="902">
        <f>Rapport!E121</f>
        <v>140</v>
      </c>
      <c r="E21" s="902"/>
      <c r="F21" s="902"/>
      <c r="G21" s="902"/>
      <c r="H21" s="902"/>
      <c r="I21" s="7"/>
      <c r="J21" s="7"/>
      <c r="K21" s="7"/>
      <c r="L21" s="7"/>
      <c r="M21" s="7"/>
      <c r="N21" s="231"/>
      <c r="O21" s="196"/>
      <c r="P21" s="196"/>
      <c r="Q21" s="196"/>
      <c r="R21" s="196"/>
      <c r="S21" s="196"/>
      <c r="T21" s="196"/>
      <c r="U21" s="196"/>
      <c r="V21" s="196"/>
      <c r="W21" s="156"/>
      <c r="X21" s="156"/>
    </row>
    <row r="22" spans="2:24" s="5" customFormat="1" ht="20.25" customHeight="1" x14ac:dyDescent="0.3">
      <c r="B22" s="700" t="s">
        <v>435</v>
      </c>
      <c r="C22" s="700"/>
      <c r="D22" s="903">
        <f>Rapport!E123</f>
        <v>80</v>
      </c>
      <c r="E22" s="903"/>
      <c r="F22" s="903"/>
      <c r="G22" s="903"/>
      <c r="H22" s="903"/>
      <c r="I22" s="7"/>
      <c r="J22" s="7"/>
      <c r="K22" s="7"/>
      <c r="L22" s="7"/>
      <c r="M22" s="7"/>
      <c r="N22" s="231"/>
      <c r="O22" s="196"/>
      <c r="P22" s="196"/>
      <c r="Q22" s="196"/>
      <c r="R22" s="196"/>
      <c r="S22" s="196"/>
      <c r="T22" s="196"/>
      <c r="U22" s="196"/>
      <c r="V22" s="196"/>
      <c r="W22" s="156"/>
      <c r="X22" s="156"/>
    </row>
    <row r="23" spans="2:24" s="5" customFormat="1" ht="20.25" customHeight="1" x14ac:dyDescent="0.3">
      <c r="B23" s="258" t="s">
        <v>436</v>
      </c>
      <c r="C23" s="258"/>
      <c r="D23" s="903">
        <f>Rapport!E122</f>
        <v>100</v>
      </c>
      <c r="E23" s="903"/>
      <c r="F23" s="903"/>
      <c r="G23" s="903"/>
      <c r="H23" s="903"/>
      <c r="I23" s="7"/>
      <c r="J23" s="7"/>
      <c r="K23" s="7"/>
      <c r="L23" s="7"/>
      <c r="M23" s="7"/>
      <c r="N23" s="231"/>
      <c r="O23" s="196"/>
      <c r="P23" s="196"/>
      <c r="Q23" s="196"/>
      <c r="R23" s="196"/>
      <c r="S23" s="196"/>
      <c r="T23" s="196"/>
      <c r="U23" s="196"/>
      <c r="V23" s="196"/>
      <c r="W23" s="156"/>
      <c r="X23" s="156"/>
    </row>
    <row r="24" spans="2:24" s="5" customFormat="1" ht="20.25" customHeight="1" x14ac:dyDescent="0.3">
      <c r="B24" s="700" t="s">
        <v>437</v>
      </c>
      <c r="C24" s="700"/>
      <c r="D24" s="907">
        <f>Rapport!E118</f>
        <v>15</v>
      </c>
      <c r="E24" s="907"/>
      <c r="F24" s="907"/>
      <c r="G24" s="907"/>
      <c r="H24" s="907"/>
      <c r="I24" s="7"/>
      <c r="J24" s="7"/>
      <c r="K24" s="7"/>
      <c r="L24" s="7"/>
      <c r="M24" s="7"/>
      <c r="N24" s="231"/>
      <c r="O24" s="196"/>
      <c r="P24" s="196"/>
      <c r="Q24" s="196"/>
      <c r="R24" s="196"/>
      <c r="S24" s="196"/>
      <c r="T24" s="196"/>
      <c r="U24" s="196"/>
      <c r="V24" s="196"/>
      <c r="W24" s="156"/>
      <c r="X24" s="156"/>
    </row>
    <row r="25" spans="2:24" s="5" customFormat="1" ht="20.25" customHeight="1" x14ac:dyDescent="0.3">
      <c r="B25" s="700" t="s">
        <v>438</v>
      </c>
      <c r="C25" s="700"/>
      <c r="D25" s="904">
        <f ca="1">N25</f>
        <v>10.734070967741935</v>
      </c>
      <c r="E25" s="904"/>
      <c r="F25" s="904"/>
      <c r="G25" s="904"/>
      <c r="H25" s="904"/>
      <c r="I25" s="7"/>
      <c r="J25" s="7"/>
      <c r="K25" s="7"/>
      <c r="L25" s="7"/>
      <c r="M25" s="7"/>
      <c r="N25" s="410">
        <f ca="1">Rapport!P339</f>
        <v>10.734070967741935</v>
      </c>
      <c r="O25" s="196"/>
      <c r="P25" s="196"/>
      <c r="Q25" s="196"/>
      <c r="S25" s="196"/>
      <c r="T25" s="196"/>
      <c r="U25" s="196"/>
      <c r="V25" s="196"/>
      <c r="W25" s="156"/>
      <c r="X25" s="156"/>
    </row>
    <row r="26" spans="2:24" s="5" customFormat="1" ht="20.25" customHeight="1" x14ac:dyDescent="0.3">
      <c r="B26" s="700" t="s">
        <v>439</v>
      </c>
      <c r="C26" s="700"/>
      <c r="D26" s="700"/>
      <c r="E26" s="700"/>
      <c r="F26" s="906">
        <f ca="1">D25*D24</f>
        <v>161.01106451612904</v>
      </c>
      <c r="G26" s="906"/>
      <c r="H26" s="906"/>
      <c r="I26" s="7"/>
      <c r="J26" s="7"/>
      <c r="K26" s="7"/>
      <c r="L26" s="7"/>
      <c r="M26" s="7"/>
      <c r="N26" s="231"/>
      <c r="O26" s="196"/>
      <c r="P26" s="196"/>
      <c r="Q26" s="196"/>
      <c r="R26" s="196"/>
      <c r="S26" s="196"/>
      <c r="T26" s="196"/>
      <c r="U26" s="196"/>
      <c r="V26" s="196"/>
      <c r="W26" s="156"/>
      <c r="X26" s="156"/>
    </row>
    <row r="27" spans="2:24" s="5" customFormat="1" ht="20.25" customHeight="1" x14ac:dyDescent="0.3">
      <c r="B27" s="258"/>
      <c r="C27" s="258"/>
      <c r="D27" s="7"/>
      <c r="E27" s="7"/>
      <c r="F27" s="7"/>
      <c r="G27" s="7"/>
      <c r="H27" s="7"/>
      <c r="I27" s="7"/>
      <c r="J27" s="7"/>
      <c r="K27" s="7"/>
      <c r="L27" s="7"/>
      <c r="M27" s="7"/>
      <c r="N27" s="231"/>
      <c r="O27" s="196"/>
      <c r="P27" s="196"/>
      <c r="Q27" s="196"/>
      <c r="R27" s="196"/>
      <c r="S27" s="196"/>
      <c r="T27" s="196"/>
      <c r="U27" s="196"/>
      <c r="V27" s="196"/>
      <c r="W27" s="156"/>
      <c r="X27" s="156"/>
    </row>
    <row r="28" spans="2:24" s="5" customFormat="1" ht="18" customHeight="1" x14ac:dyDescent="0.3">
      <c r="B28" s="770" t="s">
        <v>440</v>
      </c>
      <c r="C28" s="770"/>
      <c r="D28" s="770"/>
      <c r="E28" s="770"/>
      <c r="F28" s="770"/>
      <c r="G28" s="770"/>
      <c r="H28" s="770"/>
      <c r="I28" s="770"/>
      <c r="J28" s="770"/>
      <c r="K28" s="905"/>
      <c r="L28" s="905"/>
      <c r="M28" s="309"/>
      <c r="N28" s="273"/>
      <c r="O28" s="196"/>
      <c r="P28" s="196"/>
      <c r="Q28" s="196"/>
      <c r="R28" s="196"/>
      <c r="S28" s="196"/>
      <c r="T28" s="196"/>
      <c r="U28" s="196"/>
      <c r="V28" s="196"/>
      <c r="W28" s="156"/>
      <c r="X28" s="156"/>
    </row>
    <row r="29" spans="2:24" s="5" customFormat="1" ht="10.5" customHeight="1" x14ac:dyDescent="0.3">
      <c r="C29" s="56"/>
      <c r="D29" s="7"/>
      <c r="E29" s="7"/>
      <c r="F29" s="7"/>
      <c r="G29" s="7"/>
      <c r="H29" s="7"/>
      <c r="I29" s="7"/>
      <c r="J29" s="7"/>
      <c r="K29" s="7"/>
      <c r="L29" s="7"/>
      <c r="M29" s="7"/>
      <c r="N29" s="231"/>
      <c r="O29" s="196"/>
      <c r="P29" s="196"/>
      <c r="Q29" s="196"/>
      <c r="R29" s="196"/>
      <c r="S29" s="196"/>
      <c r="T29" s="196"/>
      <c r="U29" s="196"/>
      <c r="V29" s="196"/>
      <c r="W29" s="156"/>
      <c r="X29" s="156"/>
    </row>
    <row r="30" spans="2:24" s="5" customFormat="1" ht="37.5" customHeight="1" x14ac:dyDescent="0.3">
      <c r="B30" s="770" t="s">
        <v>441</v>
      </c>
      <c r="C30" s="770"/>
      <c r="D30" s="770"/>
      <c r="E30" s="770"/>
      <c r="F30" s="770"/>
      <c r="G30" s="770"/>
      <c r="H30" s="770"/>
      <c r="I30" s="770"/>
      <c r="J30" s="770"/>
      <c r="K30" s="770"/>
      <c r="L30" s="770"/>
      <c r="M30" s="277"/>
      <c r="N30" s="273"/>
      <c r="O30" s="196"/>
      <c r="P30" s="196"/>
      <c r="Q30" s="196"/>
      <c r="R30" s="196"/>
      <c r="S30" s="196"/>
      <c r="T30" s="196"/>
      <c r="U30" s="196"/>
      <c r="V30" s="196"/>
      <c r="W30" s="156"/>
      <c r="X30" s="156"/>
    </row>
    <row r="31" spans="2:24" s="5" customFormat="1" ht="20.25" customHeight="1" x14ac:dyDescent="0.3">
      <c r="C31" s="56"/>
      <c r="D31" s="7"/>
      <c r="E31" s="7"/>
      <c r="F31" s="7"/>
      <c r="G31" s="56"/>
      <c r="H31" s="56"/>
      <c r="I31" s="56"/>
      <c r="J31" s="56"/>
      <c r="K31" s="278"/>
      <c r="L31" s="278"/>
      <c r="M31" s="7"/>
      <c r="N31" s="231"/>
      <c r="O31" s="196"/>
      <c r="P31" s="196"/>
      <c r="Q31" s="196"/>
      <c r="R31" s="196"/>
      <c r="S31" s="196"/>
      <c r="T31" s="196"/>
      <c r="U31" s="196"/>
      <c r="V31" s="196"/>
      <c r="W31" s="156"/>
      <c r="X31" s="156"/>
    </row>
    <row r="32" spans="2:24" s="5" customFormat="1" ht="20.25" customHeight="1" x14ac:dyDescent="0.3">
      <c r="C32" s="56"/>
      <c r="D32" s="7"/>
      <c r="E32" s="7"/>
      <c r="F32" s="7"/>
      <c r="G32" s="56"/>
      <c r="H32" s="56"/>
      <c r="I32" s="56"/>
      <c r="J32" s="56"/>
      <c r="K32" s="278"/>
      <c r="L32" s="278"/>
      <c r="M32" s="7"/>
      <c r="N32" s="231"/>
      <c r="O32" s="196"/>
      <c r="P32" s="196"/>
      <c r="Q32" s="196"/>
      <c r="R32" s="196"/>
      <c r="S32" s="196"/>
      <c r="T32" s="196"/>
      <c r="U32" s="196"/>
      <c r="V32" s="196"/>
      <c r="W32" s="156"/>
      <c r="X32" s="156"/>
    </row>
    <row r="33" spans="1:30" s="5" customFormat="1" ht="20.25" customHeight="1" x14ac:dyDescent="0.3">
      <c r="C33" s="56"/>
      <c r="D33" s="7"/>
      <c r="E33" s="7"/>
      <c r="F33" s="7"/>
      <c r="G33" s="7"/>
      <c r="N33" s="231"/>
      <c r="O33" s="196"/>
      <c r="P33" s="196"/>
      <c r="Q33" s="196"/>
      <c r="R33" s="196"/>
      <c r="S33" s="196"/>
      <c r="T33" s="196"/>
      <c r="U33" s="196"/>
      <c r="V33" s="196"/>
      <c r="W33" s="156"/>
      <c r="X33" s="156"/>
    </row>
    <row r="34" spans="1:30" s="5" customFormat="1" ht="20.25" customHeight="1" x14ac:dyDescent="0.3">
      <c r="B34" s="271"/>
      <c r="C34" s="7" t="s">
        <v>442</v>
      </c>
      <c r="D34" s="7"/>
      <c r="E34" s="7"/>
      <c r="F34" s="7"/>
      <c r="G34" s="7"/>
      <c r="H34" s="7"/>
      <c r="I34" s="7"/>
      <c r="J34" s="7"/>
      <c r="K34" s="7"/>
      <c r="L34" s="7"/>
      <c r="M34" s="7"/>
      <c r="N34" s="231"/>
      <c r="O34" s="196"/>
      <c r="P34" s="196"/>
      <c r="Q34" s="196"/>
      <c r="R34" s="196"/>
      <c r="S34" s="196"/>
      <c r="T34" s="196"/>
      <c r="U34" s="196"/>
      <c r="V34" s="196"/>
      <c r="W34" s="156"/>
      <c r="X34" s="156"/>
    </row>
    <row r="35" spans="1:30" s="5" customFormat="1" ht="20.25" customHeight="1" x14ac:dyDescent="0.3">
      <c r="C35" s="56"/>
      <c r="E35" s="56"/>
      <c r="F35" s="56"/>
      <c r="G35" s="56"/>
      <c r="H35" s="56"/>
      <c r="N35" s="231"/>
      <c r="O35" s="196"/>
      <c r="P35" s="196"/>
      <c r="Q35" s="196"/>
      <c r="R35" s="196"/>
      <c r="S35" s="196"/>
      <c r="T35" s="196"/>
      <c r="U35" s="196"/>
      <c r="V35" s="196"/>
      <c r="W35" s="156"/>
      <c r="X35" s="156"/>
    </row>
    <row r="36" spans="1:30" s="5" customFormat="1" ht="20.25" customHeight="1" x14ac:dyDescent="0.3">
      <c r="B36" s="9"/>
      <c r="C36" s="7"/>
      <c r="D36" s="56" t="s">
        <v>443</v>
      </c>
      <c r="E36" s="7"/>
      <c r="F36" s="7"/>
      <c r="G36" s="7"/>
      <c r="H36" s="7"/>
      <c r="I36" s="7"/>
      <c r="J36" s="7"/>
      <c r="K36" s="7"/>
      <c r="L36" s="7"/>
      <c r="M36" s="7"/>
      <c r="N36" s="231"/>
      <c r="O36" s="196"/>
      <c r="P36" s="196"/>
      <c r="Q36" s="196"/>
      <c r="R36" s="196"/>
      <c r="S36" s="196"/>
      <c r="T36" s="196"/>
      <c r="U36" s="196"/>
      <c r="V36" s="196"/>
      <c r="W36" s="156"/>
      <c r="X36" s="156"/>
    </row>
    <row r="37" spans="1:30" s="5" customFormat="1" ht="20.25" customHeight="1" x14ac:dyDescent="0.3">
      <c r="A37" s="9"/>
      <c r="B37" s="7"/>
      <c r="C37" s="7"/>
      <c r="D37" s="7"/>
      <c r="E37" s="7"/>
      <c r="F37" s="7"/>
      <c r="G37" s="7"/>
      <c r="H37" s="7"/>
      <c r="I37" s="7"/>
      <c r="J37" s="7"/>
      <c r="K37" s="7"/>
      <c r="L37" s="7"/>
      <c r="M37" s="7"/>
      <c r="N37" s="196"/>
      <c r="O37" s="196"/>
      <c r="P37" s="196"/>
      <c r="Q37" s="196"/>
      <c r="R37" s="196"/>
      <c r="S37" s="196"/>
      <c r="T37" s="196"/>
      <c r="U37" s="196"/>
      <c r="V37" s="196"/>
      <c r="W37" s="195"/>
      <c r="X37" s="195"/>
      <c r="Y37" s="8"/>
      <c r="Z37" s="8"/>
      <c r="AA37" s="8"/>
      <c r="AB37" s="8"/>
      <c r="AC37" s="8"/>
      <c r="AD37" s="8"/>
    </row>
    <row r="38" spans="1:30" s="5" customFormat="1" ht="20.25" customHeight="1" x14ac:dyDescent="0.3">
      <c r="A38" s="9"/>
      <c r="B38" s="7"/>
      <c r="C38" s="7"/>
      <c r="D38" s="7"/>
      <c r="E38" s="7"/>
      <c r="L38" s="7"/>
      <c r="M38" s="7"/>
      <c r="N38" s="196"/>
      <c r="O38" s="196"/>
      <c r="P38" s="196"/>
      <c r="Q38" s="196"/>
      <c r="R38" s="196"/>
      <c r="S38" s="196"/>
      <c r="T38" s="196"/>
      <c r="U38" s="196"/>
      <c r="V38" s="196"/>
      <c r="W38" s="195"/>
      <c r="X38" s="195"/>
      <c r="Y38" s="8"/>
      <c r="Z38" s="8"/>
      <c r="AA38" s="8"/>
      <c r="AB38" s="8"/>
      <c r="AC38" s="8"/>
      <c r="AD38" s="8"/>
    </row>
    <row r="39" spans="1:30" s="5" customFormat="1" ht="20.25" customHeight="1" x14ac:dyDescent="0.3">
      <c r="A39" s="9"/>
      <c r="B39" s="7"/>
      <c r="C39" s="7"/>
      <c r="D39" s="7"/>
      <c r="E39" s="7"/>
      <c r="F39" s="7"/>
      <c r="G39" s="7"/>
      <c r="H39" s="7"/>
      <c r="I39" s="7"/>
      <c r="J39" s="7"/>
      <c r="K39" s="7"/>
      <c r="L39" s="7"/>
      <c r="M39" s="7"/>
      <c r="N39" s="196"/>
      <c r="O39" s="196"/>
      <c r="P39" s="196"/>
      <c r="Q39" s="196"/>
      <c r="R39" s="196"/>
      <c r="S39" s="196"/>
      <c r="T39" s="196"/>
      <c r="U39" s="196"/>
      <c r="V39" s="196"/>
      <c r="W39" s="195"/>
      <c r="X39" s="195"/>
      <c r="Y39" s="8"/>
      <c r="Z39" s="8"/>
      <c r="AA39" s="8"/>
      <c r="AB39" s="8"/>
      <c r="AC39" s="8"/>
      <c r="AD39" s="8"/>
    </row>
  </sheetData>
  <mergeCells count="35">
    <mergeCell ref="H6:I6"/>
    <mergeCell ref="D24:H24"/>
    <mergeCell ref="A1:M1"/>
    <mergeCell ref="B4:L4"/>
    <mergeCell ref="D6:G6"/>
    <mergeCell ref="D7:G7"/>
    <mergeCell ref="D8:G8"/>
    <mergeCell ref="H7:N7"/>
    <mergeCell ref="H8:N8"/>
    <mergeCell ref="B12:C12"/>
    <mergeCell ref="D12:F12"/>
    <mergeCell ref="B11:D11"/>
    <mergeCell ref="B13:C13"/>
    <mergeCell ref="D13:F13"/>
    <mergeCell ref="B21:C21"/>
    <mergeCell ref="B22:C22"/>
    <mergeCell ref="D25:H25"/>
    <mergeCell ref="B28:L28"/>
    <mergeCell ref="B30:L30"/>
    <mergeCell ref="B25:C25"/>
    <mergeCell ref="B26:E26"/>
    <mergeCell ref="F26:H26"/>
    <mergeCell ref="B24:C24"/>
    <mergeCell ref="B17:L17"/>
    <mergeCell ref="B19:C19"/>
    <mergeCell ref="B14:C14"/>
    <mergeCell ref="D14:F14"/>
    <mergeCell ref="B15:C15"/>
    <mergeCell ref="D15:F15"/>
    <mergeCell ref="D19:H19"/>
    <mergeCell ref="D20:H20"/>
    <mergeCell ref="D21:H21"/>
    <mergeCell ref="D22:H22"/>
    <mergeCell ref="D23:H23"/>
    <mergeCell ref="B20:C20"/>
  </mergeCells>
  <pageMargins left="0.25" right="0.25" top="0.75" bottom="0.75" header="0.3" footer="0.3"/>
  <pageSetup paperSize="9" scale="90" fitToWidth="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pageSetUpPr fitToPage="1"/>
  </sheetPr>
  <dimension ref="A1:AD38"/>
  <sheetViews>
    <sheetView view="pageBreakPreview" zoomScaleNormal="100" zoomScaleSheetLayoutView="100" workbookViewId="0">
      <selection activeCell="Q16" sqref="Q16"/>
    </sheetView>
  </sheetViews>
  <sheetFormatPr defaultColWidth="7.109375" defaultRowHeight="14.4" x14ac:dyDescent="0.3"/>
  <cols>
    <col min="1" max="1" width="10.5546875" customWidth="1"/>
    <col min="2" max="2" width="10.88671875" customWidth="1"/>
    <col min="3" max="3" width="14.33203125" customWidth="1"/>
  </cols>
  <sheetData>
    <row r="1" spans="1:30" s="5" customFormat="1" ht="53.25" customHeight="1" x14ac:dyDescent="0.3">
      <c r="A1" s="908" t="s">
        <v>428</v>
      </c>
      <c r="B1" s="719"/>
      <c r="C1" s="719"/>
      <c r="D1" s="719"/>
      <c r="E1" s="719"/>
      <c r="F1" s="719"/>
      <c r="G1" s="719"/>
      <c r="H1" s="719"/>
      <c r="I1" s="719"/>
      <c r="J1" s="719"/>
      <c r="K1" s="719"/>
      <c r="L1" s="719"/>
      <c r="M1" s="719"/>
      <c r="N1" s="196"/>
      <c r="O1" s="196"/>
      <c r="P1" s="196"/>
      <c r="Q1" s="196"/>
      <c r="R1" s="196"/>
      <c r="S1" s="196"/>
      <c r="T1" s="196"/>
      <c r="U1" s="196"/>
      <c r="V1" s="196"/>
      <c r="W1" s="195"/>
      <c r="X1" s="195"/>
      <c r="Y1" s="8"/>
      <c r="Z1" s="8"/>
      <c r="AA1" s="8"/>
      <c r="AB1" s="8"/>
      <c r="AC1" s="8"/>
      <c r="AD1" s="8"/>
    </row>
    <row r="2" spans="1:30" s="5" customFormat="1" ht="12.75" customHeight="1" x14ac:dyDescent="0.3">
      <c r="A2" s="9"/>
      <c r="B2" s="7"/>
      <c r="C2" s="7"/>
      <c r="D2" s="7"/>
      <c r="E2" s="7"/>
      <c r="F2" s="7"/>
      <c r="G2" s="284"/>
      <c r="H2" s="7"/>
      <c r="I2" s="7"/>
      <c r="J2" s="7"/>
      <c r="K2" s="7"/>
      <c r="L2" s="7"/>
      <c r="M2" s="7"/>
      <c r="N2" s="196"/>
      <c r="O2" s="196"/>
      <c r="P2" s="196"/>
      <c r="Q2" s="196"/>
      <c r="R2" s="196"/>
      <c r="S2" s="196"/>
      <c r="T2" s="196"/>
      <c r="U2" s="196"/>
      <c r="V2" s="196"/>
      <c r="W2" s="195"/>
      <c r="X2" s="195"/>
      <c r="Y2" s="8"/>
      <c r="Z2" s="8"/>
      <c r="AA2" s="8"/>
      <c r="AB2" s="8"/>
      <c r="AC2" s="8"/>
      <c r="AD2" s="8"/>
    </row>
    <row r="3" spans="1:30" s="5" customFormat="1" ht="12.75" customHeight="1" x14ac:dyDescent="0.3">
      <c r="A3" s="9"/>
      <c r="B3" s="7"/>
      <c r="C3" s="7"/>
      <c r="D3" s="7"/>
      <c r="E3" s="7"/>
      <c r="F3" s="7"/>
      <c r="G3" s="7"/>
      <c r="H3" s="7"/>
      <c r="I3" s="7"/>
      <c r="J3" s="7"/>
      <c r="K3" s="7"/>
      <c r="L3" s="7"/>
      <c r="M3" s="7"/>
      <c r="N3" s="196"/>
      <c r="O3" s="196"/>
      <c r="P3" s="196"/>
      <c r="Q3" s="196"/>
      <c r="R3" s="196"/>
      <c r="S3" s="196"/>
      <c r="T3" s="196"/>
      <c r="U3" s="196"/>
      <c r="V3" s="196"/>
      <c r="W3" s="195"/>
      <c r="X3" s="195"/>
      <c r="Y3" s="8"/>
      <c r="Z3" s="8"/>
      <c r="AA3" s="8"/>
      <c r="AB3" s="8"/>
      <c r="AC3" s="8"/>
      <c r="AD3" s="8"/>
    </row>
    <row r="4" spans="1:30" s="5" customFormat="1" ht="20.25" customHeight="1" x14ac:dyDescent="0.3">
      <c r="B4" s="862" t="s">
        <v>429</v>
      </c>
      <c r="C4" s="862"/>
      <c r="D4" s="862"/>
      <c r="E4" s="862"/>
      <c r="F4" s="862"/>
      <c r="G4" s="862"/>
      <c r="H4" s="862"/>
      <c r="I4" s="862"/>
      <c r="J4" s="862"/>
      <c r="K4" s="862"/>
      <c r="L4" s="862"/>
      <c r="M4" s="272"/>
      <c r="N4" s="273"/>
      <c r="O4" s="196"/>
      <c r="P4" s="196"/>
      <c r="Q4" s="196"/>
      <c r="R4" s="196"/>
      <c r="S4" s="196"/>
      <c r="T4" s="196"/>
      <c r="U4" s="196"/>
      <c r="V4" s="196"/>
      <c r="W4" s="156"/>
      <c r="X4" s="156"/>
    </row>
    <row r="5" spans="1:30" s="5" customFormat="1" ht="11.25" customHeight="1" x14ac:dyDescent="0.3">
      <c r="B5" s="274"/>
      <c r="C5" s="272"/>
      <c r="D5" s="272"/>
      <c r="E5" s="272"/>
      <c r="F5" s="272"/>
      <c r="G5" s="272"/>
      <c r="H5" s="272"/>
      <c r="I5" s="272"/>
      <c r="J5" s="272"/>
      <c r="K5" s="272"/>
      <c r="L5" s="272"/>
      <c r="M5" s="272"/>
      <c r="N5" s="273"/>
      <c r="O5" s="196"/>
      <c r="P5" s="196"/>
      <c r="Q5" s="196"/>
      <c r="R5" s="196"/>
      <c r="S5" s="196"/>
      <c r="T5" s="196"/>
      <c r="U5" s="196"/>
      <c r="V5" s="196"/>
      <c r="W5" s="156"/>
      <c r="X5" s="156"/>
    </row>
    <row r="6" spans="1:30" s="5" customFormat="1" ht="37.5" customHeight="1" x14ac:dyDescent="0.3">
      <c r="B6" s="56" t="s">
        <v>444</v>
      </c>
      <c r="C6" s="56"/>
      <c r="D6" s="868" t="str">
        <f>Rapport!G21</f>
        <v>Mr. Ahmed Bouirdne</v>
      </c>
      <c r="E6" s="868"/>
      <c r="F6" s="868"/>
      <c r="G6" s="868"/>
      <c r="H6" s="868" t="str">
        <f>Rapport!G24</f>
        <v>JD54766</v>
      </c>
      <c r="I6" s="868"/>
      <c r="J6" s="868"/>
      <c r="K6" s="868"/>
      <c r="L6" s="868"/>
      <c r="M6" s="868"/>
      <c r="N6" s="868"/>
      <c r="O6" s="196"/>
      <c r="P6" s="196"/>
      <c r="Q6" s="196"/>
      <c r="R6" s="196"/>
      <c r="S6" s="196"/>
      <c r="T6" s="196"/>
      <c r="U6" s="196"/>
      <c r="V6" s="196"/>
      <c r="W6" s="156"/>
      <c r="X6" s="156"/>
    </row>
    <row r="7" spans="1:30" s="5" customFormat="1" ht="20.25" hidden="1" customHeight="1" x14ac:dyDescent="0.3">
      <c r="B7" s="56"/>
      <c r="C7" s="56"/>
      <c r="D7" s="909" t="str">
        <f>Rapport!G22</f>
        <v>Mr. Mostapha Zoubaa</v>
      </c>
      <c r="E7" s="909"/>
      <c r="F7" s="909"/>
      <c r="G7" s="909"/>
      <c r="H7" s="909" t="str">
        <f>Rapport!G25</f>
        <v>LF27997</v>
      </c>
      <c r="I7" s="909"/>
      <c r="J7" s="909"/>
      <c r="K7" s="909"/>
      <c r="L7" s="909"/>
      <c r="M7" s="909"/>
      <c r="N7" s="909"/>
      <c r="O7" s="196"/>
      <c r="P7" s="196"/>
      <c r="Q7" s="196"/>
      <c r="R7" s="196"/>
      <c r="S7" s="196"/>
      <c r="T7" s="196"/>
      <c r="U7" s="196"/>
      <c r="V7" s="196"/>
      <c r="W7" s="156"/>
      <c r="X7" s="156"/>
    </row>
    <row r="8" spans="1:30" s="5" customFormat="1" ht="20.25" hidden="1" customHeight="1" x14ac:dyDescent="0.3">
      <c r="B8" s="56"/>
      <c r="C8" s="56"/>
      <c r="D8" s="909" t="str">
        <f>Rapport!G23</f>
        <v>Mme. Fatima Zoubaa</v>
      </c>
      <c r="E8" s="909"/>
      <c r="F8" s="909"/>
      <c r="G8" s="909"/>
      <c r="H8" s="909" t="str">
        <f>Rapport!G26</f>
        <v>S649496</v>
      </c>
      <c r="I8" s="909"/>
      <c r="J8" s="909"/>
      <c r="K8" s="909"/>
      <c r="L8" s="909"/>
      <c r="M8" s="909"/>
      <c r="N8" s="909"/>
      <c r="O8" s="196"/>
      <c r="P8" s="196"/>
      <c r="Q8" s="196"/>
      <c r="R8" s="196"/>
      <c r="S8" s="196"/>
      <c r="T8" s="196"/>
      <c r="U8" s="196"/>
      <c r="V8" s="196"/>
      <c r="W8" s="156"/>
      <c r="X8" s="156"/>
    </row>
    <row r="9" spans="1:30" s="5" customFormat="1" ht="9.75" hidden="1" customHeight="1" x14ac:dyDescent="0.3">
      <c r="B9" s="56"/>
      <c r="C9" s="56"/>
      <c r="D9" s="282"/>
      <c r="E9" s="282"/>
      <c r="F9" s="282"/>
      <c r="G9" s="282"/>
      <c r="H9" s="275"/>
      <c r="I9" s="56"/>
      <c r="J9" s="56"/>
      <c r="K9" s="56"/>
      <c r="L9" s="56"/>
      <c r="M9" s="56"/>
      <c r="N9" s="196"/>
      <c r="O9" s="196"/>
      <c r="P9" s="196"/>
      <c r="Q9" s="196"/>
      <c r="R9" s="196"/>
      <c r="S9" s="196"/>
      <c r="T9" s="196"/>
      <c r="U9" s="196"/>
      <c r="V9" s="196"/>
      <c r="W9" s="156"/>
      <c r="X9" s="156"/>
    </row>
    <row r="10" spans="1:30" s="5" customFormat="1" ht="7.5" hidden="1" customHeight="1" x14ac:dyDescent="0.3">
      <c r="B10" s="56"/>
      <c r="C10" s="56"/>
      <c r="D10" s="283"/>
      <c r="E10" s="283"/>
      <c r="F10" s="283"/>
      <c r="G10" s="283"/>
      <c r="H10" s="283"/>
      <c r="I10" s="283"/>
      <c r="J10" s="283"/>
      <c r="K10" s="56"/>
      <c r="L10" s="56"/>
      <c r="M10" s="56"/>
      <c r="N10" s="196"/>
      <c r="O10" s="196"/>
      <c r="P10" s="196"/>
      <c r="Q10" s="196"/>
      <c r="R10" s="196"/>
      <c r="S10" s="196"/>
      <c r="T10" s="196"/>
      <c r="U10" s="196"/>
      <c r="V10" s="196"/>
      <c r="W10" s="156"/>
      <c r="X10" s="156"/>
    </row>
    <row r="11" spans="1:30" s="5" customFormat="1" ht="20.25" customHeight="1" x14ac:dyDescent="0.3">
      <c r="B11" s="700" t="s">
        <v>430</v>
      </c>
      <c r="C11" s="700"/>
      <c r="D11" s="700"/>
      <c r="E11" s="56"/>
      <c r="F11" s="56"/>
      <c r="G11" s="56"/>
      <c r="H11" s="56"/>
      <c r="I11" s="56"/>
      <c r="J11" s="56"/>
      <c r="K11" s="56"/>
      <c r="L11" s="56"/>
      <c r="M11" s="56"/>
      <c r="N11" s="56"/>
      <c r="O11" s="196"/>
      <c r="P11" s="196"/>
      <c r="Q11" s="196"/>
      <c r="R11" s="196"/>
      <c r="S11" s="196"/>
      <c r="T11" s="196"/>
      <c r="U11" s="196"/>
      <c r="V11" s="196"/>
      <c r="W11" s="156"/>
      <c r="X11" s="156"/>
    </row>
    <row r="12" spans="1:30" s="5" customFormat="1" ht="20.25" customHeight="1" x14ac:dyDescent="0.3">
      <c r="B12" s="700" t="s">
        <v>420</v>
      </c>
      <c r="C12" s="700"/>
      <c r="D12" s="760" t="str">
        <f>Rapport!G30</f>
        <v>Toufgnit</v>
      </c>
      <c r="E12" s="760"/>
      <c r="F12" s="760"/>
      <c r="G12" s="56"/>
      <c r="H12" s="56"/>
      <c r="I12" s="56"/>
      <c r="J12" s="56"/>
      <c r="K12" s="56"/>
      <c r="L12" s="56"/>
      <c r="M12" s="56"/>
      <c r="N12" s="196"/>
      <c r="O12" s="196"/>
      <c r="P12" s="196"/>
      <c r="Q12" s="196"/>
      <c r="R12" s="196"/>
      <c r="S12" s="196"/>
      <c r="T12" s="196"/>
      <c r="U12" s="196"/>
      <c r="V12" s="196"/>
      <c r="W12" s="156"/>
      <c r="X12" s="156"/>
    </row>
    <row r="13" spans="1:30" s="5" customFormat="1" ht="20.25" customHeight="1" x14ac:dyDescent="0.3">
      <c r="B13" s="700" t="s">
        <v>421</v>
      </c>
      <c r="C13" s="700"/>
      <c r="D13" s="760" t="str">
        <f>Rapport!G31</f>
        <v xml:space="preserve">Sidi H’Sain Ou Ali </v>
      </c>
      <c r="E13" s="760"/>
      <c r="F13" s="760"/>
      <c r="G13" s="56"/>
      <c r="H13" s="56"/>
      <c r="I13" s="56"/>
      <c r="J13" s="56"/>
      <c r="K13" s="56"/>
      <c r="L13" s="56"/>
      <c r="M13" s="56"/>
      <c r="N13" s="196"/>
      <c r="O13" s="196"/>
      <c r="P13" s="196"/>
      <c r="Q13" s="196"/>
      <c r="R13" s="196"/>
      <c r="S13" s="196"/>
      <c r="T13" s="196"/>
      <c r="U13" s="196"/>
      <c r="V13" s="196"/>
      <c r="W13" s="156"/>
      <c r="X13" s="156"/>
    </row>
    <row r="14" spans="1:30" s="5" customFormat="1" ht="20.25" hidden="1" customHeight="1" x14ac:dyDescent="0.3">
      <c r="B14" s="700" t="s">
        <v>422</v>
      </c>
      <c r="C14" s="700"/>
      <c r="D14" s="760" t="str">
        <f>Rapport!G32</f>
        <v>Ifni</v>
      </c>
      <c r="E14" s="760"/>
      <c r="F14" s="760"/>
      <c r="G14" s="56"/>
      <c r="H14" s="56"/>
      <c r="I14" s="56"/>
      <c r="J14" s="56"/>
      <c r="K14" s="56"/>
      <c r="L14" s="56"/>
      <c r="M14" s="56"/>
      <c r="N14" s="196"/>
      <c r="O14" s="196"/>
      <c r="P14" s="196"/>
      <c r="Q14" s="196"/>
      <c r="R14" s="196"/>
      <c r="S14" s="196"/>
      <c r="T14" s="196"/>
      <c r="U14" s="196"/>
      <c r="V14" s="196"/>
      <c r="W14" s="156"/>
      <c r="X14" s="156"/>
    </row>
    <row r="15" spans="1:30" s="5" customFormat="1" ht="20.25" customHeight="1" x14ac:dyDescent="0.3">
      <c r="B15" s="700" t="s">
        <v>423</v>
      </c>
      <c r="C15" s="700"/>
      <c r="D15" s="760" t="str">
        <f>Rapport!G33</f>
        <v>Sidi Ifni</v>
      </c>
      <c r="E15" s="760"/>
      <c r="F15" s="760"/>
      <c r="G15" s="56"/>
      <c r="H15" s="56"/>
      <c r="I15" s="56"/>
      <c r="J15" s="56"/>
      <c r="K15" s="56"/>
      <c r="L15" s="56"/>
      <c r="M15" s="56"/>
      <c r="N15" s="196"/>
      <c r="O15" s="196"/>
      <c r="P15" s="196"/>
      <c r="Q15" s="196"/>
      <c r="R15" s="196"/>
      <c r="S15" s="196"/>
      <c r="T15" s="196"/>
      <c r="U15" s="196"/>
      <c r="V15" s="196"/>
      <c r="W15" s="156"/>
      <c r="X15" s="156"/>
    </row>
    <row r="16" spans="1:30" s="5" customFormat="1" ht="20.25" customHeight="1" x14ac:dyDescent="0.3">
      <c r="B16" s="56"/>
      <c r="C16" s="56"/>
      <c r="D16" s="56"/>
      <c r="E16" s="56"/>
      <c r="F16" s="56"/>
      <c r="G16" s="56"/>
      <c r="H16" s="56"/>
      <c r="I16" s="56"/>
      <c r="J16" s="56"/>
      <c r="K16" s="56"/>
      <c r="L16" s="56"/>
      <c r="M16" s="56"/>
      <c r="N16" s="196"/>
      <c r="O16" s="196"/>
      <c r="P16" s="196"/>
      <c r="Q16" s="196"/>
      <c r="R16" s="196"/>
      <c r="S16" s="196"/>
      <c r="T16" s="196"/>
      <c r="U16" s="196"/>
      <c r="V16" s="196"/>
      <c r="W16" s="156"/>
      <c r="X16" s="156"/>
    </row>
    <row r="17" spans="2:24" s="5" customFormat="1" ht="60" customHeight="1" x14ac:dyDescent="0.3">
      <c r="B17" s="770" t="s">
        <v>431</v>
      </c>
      <c r="C17" s="770"/>
      <c r="D17" s="770"/>
      <c r="E17" s="770"/>
      <c r="F17" s="770"/>
      <c r="G17" s="770"/>
      <c r="H17" s="770"/>
      <c r="I17" s="770"/>
      <c r="J17" s="770"/>
      <c r="K17" s="770"/>
      <c r="L17" s="770"/>
      <c r="M17" s="277"/>
      <c r="N17" s="273"/>
      <c r="O17" s="196"/>
      <c r="P17" s="196"/>
      <c r="Q17" s="196"/>
      <c r="R17" s="196"/>
      <c r="S17" s="196"/>
      <c r="T17" s="196"/>
      <c r="U17" s="196"/>
      <c r="V17" s="196"/>
      <c r="W17" s="156"/>
      <c r="X17" s="156"/>
    </row>
    <row r="18" spans="2:24" s="5" customFormat="1" ht="20.25" customHeight="1" x14ac:dyDescent="0.3">
      <c r="B18" s="56"/>
      <c r="C18" s="56"/>
      <c r="D18" s="56"/>
      <c r="E18" s="56"/>
      <c r="F18" s="56"/>
      <c r="G18" s="56"/>
      <c r="H18" s="56"/>
      <c r="I18" s="56"/>
      <c r="J18" s="56"/>
      <c r="K18" s="277"/>
      <c r="L18" s="277"/>
      <c r="M18" s="277"/>
      <c r="N18" s="196"/>
      <c r="O18" s="196"/>
      <c r="P18" s="196"/>
      <c r="Q18" s="196"/>
      <c r="R18" s="196"/>
      <c r="S18" s="196"/>
      <c r="T18" s="196"/>
      <c r="U18" s="196"/>
      <c r="V18" s="196"/>
      <c r="W18" s="156"/>
      <c r="X18" s="156"/>
    </row>
    <row r="19" spans="2:24" s="5" customFormat="1" ht="20.25" customHeight="1" x14ac:dyDescent="0.3">
      <c r="B19" s="700" t="s">
        <v>432</v>
      </c>
      <c r="C19" s="700"/>
      <c r="D19" s="902" t="str">
        <f>Rapport!G117</f>
        <v>Forage 2</v>
      </c>
      <c r="E19" s="902"/>
      <c r="F19" s="902"/>
      <c r="G19" s="902"/>
      <c r="H19" s="902"/>
      <c r="I19" s="7"/>
      <c r="J19" s="7"/>
      <c r="K19" s="7"/>
      <c r="L19" s="7"/>
      <c r="M19" s="7"/>
      <c r="N19" s="231"/>
      <c r="O19" s="196"/>
      <c r="P19" s="196"/>
      <c r="Q19" s="196"/>
      <c r="R19" s="196"/>
      <c r="S19" s="196"/>
      <c r="T19" s="196"/>
      <c r="U19" s="196"/>
      <c r="V19" s="196"/>
      <c r="W19" s="156"/>
      <c r="X19" s="156"/>
    </row>
    <row r="20" spans="2:24" s="5" customFormat="1" ht="20.25" customHeight="1" x14ac:dyDescent="0.3">
      <c r="B20" s="700" t="s">
        <v>433</v>
      </c>
      <c r="C20" s="700"/>
      <c r="D20" s="902" t="str">
        <f>CONCATENATE(Rapport!G119," ",Rapport!G120)</f>
        <v>X = 716792 Y = 413950</v>
      </c>
      <c r="E20" s="902"/>
      <c r="F20" s="902"/>
      <c r="G20" s="902"/>
      <c r="H20" s="902"/>
      <c r="I20" s="7"/>
      <c r="J20" s="7"/>
      <c r="K20" s="7"/>
      <c r="L20" s="7"/>
      <c r="M20" s="7"/>
      <c r="N20" s="231"/>
      <c r="O20" s="196"/>
      <c r="P20" s="196"/>
      <c r="Q20" s="196"/>
      <c r="R20" s="196"/>
      <c r="S20" s="196"/>
      <c r="T20" s="196"/>
      <c r="U20" s="196"/>
      <c r="V20" s="196"/>
      <c r="W20" s="156"/>
      <c r="X20" s="156"/>
    </row>
    <row r="21" spans="2:24" s="5" customFormat="1" ht="20.25" customHeight="1" x14ac:dyDescent="0.3">
      <c r="B21" s="700" t="s">
        <v>434</v>
      </c>
      <c r="C21" s="700"/>
      <c r="D21" s="902">
        <f>Rapport!G121</f>
        <v>100</v>
      </c>
      <c r="E21" s="902"/>
      <c r="F21" s="902"/>
      <c r="G21" s="902"/>
      <c r="H21" s="902"/>
      <c r="I21" s="7"/>
      <c r="J21" s="7"/>
      <c r="K21" s="7"/>
      <c r="L21" s="7"/>
      <c r="M21" s="7"/>
      <c r="N21" s="231"/>
      <c r="O21" s="196"/>
      <c r="P21" s="196"/>
      <c r="Q21" s="196"/>
      <c r="R21" s="196"/>
      <c r="S21" s="196"/>
      <c r="T21" s="196"/>
      <c r="U21" s="196"/>
      <c r="V21" s="196"/>
      <c r="W21" s="156"/>
      <c r="X21" s="156"/>
    </row>
    <row r="22" spans="2:24" s="5" customFormat="1" ht="20.25" customHeight="1" x14ac:dyDescent="0.3">
      <c r="B22" s="700" t="s">
        <v>435</v>
      </c>
      <c r="C22" s="700"/>
      <c r="D22" s="903">
        <f>Rapport!G123</f>
        <v>60</v>
      </c>
      <c r="E22" s="903"/>
      <c r="F22" s="903"/>
      <c r="G22" s="903"/>
      <c r="H22" s="903"/>
      <c r="I22" s="7"/>
      <c r="J22" s="7"/>
      <c r="K22" s="7"/>
      <c r="L22" s="7"/>
      <c r="M22" s="7"/>
      <c r="N22" s="231"/>
      <c r="O22" s="196"/>
      <c r="P22" s="196"/>
      <c r="Q22" s="196"/>
      <c r="R22" s="196"/>
      <c r="S22" s="196"/>
      <c r="T22" s="196"/>
      <c r="U22" s="196"/>
      <c r="V22" s="196"/>
      <c r="W22" s="156"/>
      <c r="X22" s="156"/>
    </row>
    <row r="23" spans="2:24" s="5" customFormat="1" ht="20.25" customHeight="1" x14ac:dyDescent="0.3">
      <c r="B23" s="281" t="s">
        <v>436</v>
      </c>
      <c r="C23" s="281"/>
      <c r="D23" s="903">
        <f>Rapport!G122</f>
        <v>90</v>
      </c>
      <c r="E23" s="903"/>
      <c r="F23" s="903"/>
      <c r="G23" s="903"/>
      <c r="H23" s="903"/>
      <c r="I23" s="7"/>
      <c r="J23" s="7"/>
      <c r="K23" s="7"/>
      <c r="L23" s="7"/>
      <c r="M23" s="7"/>
      <c r="N23" s="231"/>
      <c r="O23" s="196"/>
      <c r="P23" s="196"/>
      <c r="Q23" s="196"/>
      <c r="R23" s="196"/>
      <c r="S23" s="196"/>
      <c r="T23" s="196"/>
      <c r="U23" s="196"/>
      <c r="V23" s="196"/>
      <c r="W23" s="156"/>
      <c r="X23" s="156"/>
    </row>
    <row r="24" spans="2:24" s="5" customFormat="1" ht="20.25" customHeight="1" x14ac:dyDescent="0.3">
      <c r="B24" s="700" t="s">
        <v>437</v>
      </c>
      <c r="C24" s="700"/>
      <c r="D24" s="907">
        <f>Rapport!G118</f>
        <v>18</v>
      </c>
      <c r="E24" s="907"/>
      <c r="F24" s="907"/>
      <c r="G24" s="907"/>
      <c r="H24" s="907"/>
      <c r="I24" s="7"/>
      <c r="J24" s="7"/>
      <c r="K24" s="7"/>
      <c r="L24" s="7"/>
      <c r="M24" s="7"/>
      <c r="N24" s="231"/>
      <c r="O24" s="196"/>
      <c r="P24" s="196"/>
      <c r="Q24" s="196"/>
      <c r="R24" s="196"/>
      <c r="S24" s="196"/>
      <c r="T24" s="196"/>
      <c r="U24" s="196"/>
      <c r="V24" s="196"/>
      <c r="W24" s="156"/>
      <c r="X24" s="156"/>
    </row>
    <row r="25" spans="2:24" s="5" customFormat="1" ht="20.25" customHeight="1" x14ac:dyDescent="0.3">
      <c r="B25" s="700" t="s">
        <v>438</v>
      </c>
      <c r="C25" s="700"/>
      <c r="D25" s="904">
        <f ca="1">'Declaration 1'!D25:H25</f>
        <v>10.734070967741935</v>
      </c>
      <c r="E25" s="904"/>
      <c r="F25" s="904"/>
      <c r="G25" s="904"/>
      <c r="H25" s="904"/>
      <c r="I25" s="7"/>
      <c r="J25" s="7"/>
      <c r="K25" s="7"/>
      <c r="L25" s="7"/>
      <c r="M25" s="7"/>
      <c r="N25" s="231"/>
      <c r="O25" s="196"/>
      <c r="P25" s="196"/>
      <c r="Q25" s="196"/>
      <c r="R25" s="196"/>
      <c r="S25" s="196"/>
      <c r="T25" s="196"/>
      <c r="U25" s="196"/>
      <c r="V25" s="196"/>
      <c r="W25" s="156"/>
      <c r="X25" s="156"/>
    </row>
    <row r="26" spans="2:24" s="5" customFormat="1" ht="20.25" customHeight="1" x14ac:dyDescent="0.3">
      <c r="B26" s="700" t="s">
        <v>439</v>
      </c>
      <c r="C26" s="700"/>
      <c r="D26" s="700"/>
      <c r="E26" s="700"/>
      <c r="F26" s="906">
        <f ca="1">D25*D24</f>
        <v>193.21327741935482</v>
      </c>
      <c r="G26" s="906"/>
      <c r="H26" s="906"/>
      <c r="I26" s="7"/>
      <c r="J26" s="7"/>
      <c r="K26" s="7"/>
      <c r="L26" s="7"/>
      <c r="M26" s="7"/>
      <c r="N26" s="231"/>
      <c r="O26" s="196"/>
      <c r="P26" s="196"/>
      <c r="Q26" s="196"/>
      <c r="R26" s="196"/>
      <c r="S26" s="196"/>
      <c r="T26" s="196"/>
      <c r="U26" s="196"/>
      <c r="V26" s="196"/>
      <c r="W26" s="156"/>
      <c r="X26" s="156"/>
    </row>
    <row r="27" spans="2:24" s="5" customFormat="1" ht="20.25" customHeight="1" x14ac:dyDescent="0.3">
      <c r="B27" s="281"/>
      <c r="C27" s="281"/>
      <c r="D27" s="7"/>
      <c r="E27" s="7"/>
      <c r="F27" s="7"/>
      <c r="G27" s="7"/>
      <c r="H27" s="7"/>
      <c r="I27" s="7"/>
      <c r="J27" s="7"/>
      <c r="K27" s="7"/>
      <c r="L27" s="7"/>
      <c r="M27" s="7"/>
      <c r="N27" s="231"/>
      <c r="O27" s="196"/>
      <c r="P27" s="196"/>
      <c r="Q27" s="196"/>
      <c r="R27" s="196"/>
      <c r="S27" s="196"/>
      <c r="T27" s="196"/>
      <c r="U27" s="196"/>
      <c r="V27" s="196"/>
      <c r="W27" s="156"/>
      <c r="X27" s="156"/>
    </row>
    <row r="28" spans="2:24" s="5" customFormat="1" ht="18" customHeight="1" x14ac:dyDescent="0.3">
      <c r="B28" s="770" t="s">
        <v>440</v>
      </c>
      <c r="C28" s="770"/>
      <c r="D28" s="770"/>
      <c r="E28" s="770"/>
      <c r="F28" s="770"/>
      <c r="G28" s="770"/>
      <c r="H28" s="770"/>
      <c r="I28" s="770"/>
      <c r="J28" s="770"/>
      <c r="K28" s="770"/>
      <c r="L28" s="770"/>
      <c r="M28" s="277"/>
      <c r="N28" s="273"/>
      <c r="O28" s="196"/>
      <c r="P28" s="196"/>
      <c r="Q28" s="196"/>
      <c r="R28" s="196"/>
      <c r="S28" s="196"/>
      <c r="T28" s="196"/>
      <c r="U28" s="196"/>
      <c r="V28" s="196"/>
      <c r="W28" s="156"/>
      <c r="X28" s="156"/>
    </row>
    <row r="29" spans="2:24" s="5" customFormat="1" ht="10.5" customHeight="1" x14ac:dyDescent="0.3">
      <c r="C29" s="56"/>
      <c r="D29" s="7"/>
      <c r="E29" s="7"/>
      <c r="F29" s="7"/>
      <c r="G29" s="7"/>
      <c r="H29" s="7"/>
      <c r="I29" s="7"/>
      <c r="J29" s="7"/>
      <c r="K29" s="7"/>
      <c r="L29" s="7"/>
      <c r="M29" s="7"/>
      <c r="N29" s="231"/>
      <c r="O29" s="196"/>
      <c r="P29" s="196"/>
      <c r="Q29" s="196"/>
      <c r="R29" s="196"/>
      <c r="S29" s="196"/>
      <c r="T29" s="196"/>
      <c r="U29" s="196"/>
      <c r="V29" s="196"/>
      <c r="W29" s="156"/>
      <c r="X29" s="156"/>
    </row>
    <row r="30" spans="2:24" s="5" customFormat="1" ht="37.5" customHeight="1" x14ac:dyDescent="0.3">
      <c r="B30" s="770" t="s">
        <v>441</v>
      </c>
      <c r="C30" s="770"/>
      <c r="D30" s="770"/>
      <c r="E30" s="770"/>
      <c r="F30" s="770"/>
      <c r="G30" s="770"/>
      <c r="H30" s="770"/>
      <c r="I30" s="770"/>
      <c r="J30" s="770"/>
      <c r="K30" s="770"/>
      <c r="L30" s="770"/>
      <c r="M30" s="277"/>
      <c r="N30" s="273"/>
      <c r="O30" s="196"/>
      <c r="P30" s="196"/>
      <c r="Q30" s="196"/>
      <c r="R30" s="196"/>
      <c r="S30" s="196"/>
      <c r="T30" s="196"/>
      <c r="U30" s="196"/>
      <c r="V30" s="196"/>
      <c r="W30" s="156"/>
      <c r="X30" s="156"/>
    </row>
    <row r="31" spans="2:24" s="5" customFormat="1" ht="20.25" customHeight="1" x14ac:dyDescent="0.3">
      <c r="C31" s="56"/>
      <c r="D31" s="7"/>
      <c r="E31" s="7"/>
      <c r="F31" s="7"/>
      <c r="G31" s="56"/>
      <c r="H31" s="56"/>
      <c r="I31" s="56"/>
      <c r="J31" s="56"/>
      <c r="K31" s="278"/>
      <c r="L31" s="278"/>
      <c r="M31" s="7"/>
      <c r="N31" s="231"/>
      <c r="O31" s="196"/>
      <c r="P31" s="196"/>
      <c r="Q31" s="196"/>
      <c r="R31" s="196"/>
      <c r="S31" s="196"/>
      <c r="T31" s="196"/>
      <c r="U31" s="196"/>
      <c r="V31" s="196"/>
      <c r="W31" s="156"/>
      <c r="X31" s="156"/>
    </row>
    <row r="32" spans="2:24" s="5" customFormat="1" ht="20.25" customHeight="1" x14ac:dyDescent="0.3">
      <c r="C32" s="56"/>
      <c r="D32" s="7"/>
      <c r="E32" s="7"/>
      <c r="F32" s="7"/>
      <c r="G32" s="7"/>
      <c r="N32" s="231"/>
      <c r="O32" s="196"/>
      <c r="P32" s="196"/>
      <c r="Q32" s="196"/>
      <c r="R32" s="196"/>
      <c r="S32" s="196"/>
      <c r="T32" s="196"/>
      <c r="U32" s="196"/>
      <c r="V32" s="196"/>
      <c r="W32" s="156"/>
      <c r="X32" s="156"/>
    </row>
    <row r="33" spans="1:30" s="5" customFormat="1" ht="20.25" customHeight="1" x14ac:dyDescent="0.3">
      <c r="B33" s="284"/>
      <c r="C33" s="7" t="s">
        <v>442</v>
      </c>
      <c r="D33" s="7"/>
      <c r="E33" s="7"/>
      <c r="F33" s="7"/>
      <c r="G33" s="7"/>
      <c r="H33" s="7"/>
      <c r="I33" s="7"/>
      <c r="J33" s="7"/>
      <c r="K33" s="7"/>
      <c r="L33" s="7"/>
      <c r="M33" s="7"/>
      <c r="N33" s="231"/>
      <c r="O33" s="196"/>
      <c r="P33" s="196"/>
      <c r="Q33" s="196"/>
      <c r="R33" s="196"/>
      <c r="S33" s="196"/>
      <c r="T33" s="196"/>
      <c r="U33" s="196"/>
      <c r="V33" s="196"/>
      <c r="W33" s="156"/>
      <c r="X33" s="156"/>
    </row>
    <row r="34" spans="1:30" s="5" customFormat="1" ht="20.25" customHeight="1" x14ac:dyDescent="0.3">
      <c r="C34" s="56"/>
      <c r="E34" s="56"/>
      <c r="F34" s="56"/>
      <c r="G34" s="56"/>
      <c r="H34" s="56"/>
      <c r="N34" s="231"/>
      <c r="O34" s="196"/>
      <c r="P34" s="196"/>
      <c r="Q34" s="196"/>
      <c r="R34" s="196"/>
      <c r="S34" s="196"/>
      <c r="T34" s="196"/>
      <c r="U34" s="196"/>
      <c r="V34" s="196"/>
      <c r="W34" s="156"/>
      <c r="X34" s="156"/>
    </row>
    <row r="35" spans="1:30" s="5" customFormat="1" ht="20.25" customHeight="1" x14ac:dyDescent="0.3">
      <c r="B35" s="9"/>
      <c r="C35" s="7"/>
      <c r="D35" s="56" t="s">
        <v>443</v>
      </c>
      <c r="E35" s="7"/>
      <c r="F35" s="7"/>
      <c r="G35" s="7"/>
      <c r="H35" s="7"/>
      <c r="I35" s="7"/>
      <c r="J35" s="7"/>
      <c r="K35" s="7"/>
      <c r="L35" s="7"/>
      <c r="M35" s="7"/>
      <c r="N35" s="231"/>
      <c r="O35" s="196"/>
      <c r="P35" s="196"/>
      <c r="Q35" s="196"/>
      <c r="R35" s="196"/>
      <c r="S35" s="196"/>
      <c r="T35" s="196"/>
      <c r="U35" s="196"/>
      <c r="V35" s="196"/>
      <c r="W35" s="156"/>
      <c r="X35" s="156"/>
    </row>
    <row r="36" spans="1:30" s="5" customFormat="1" ht="20.25" customHeight="1" x14ac:dyDescent="0.3">
      <c r="A36" s="9"/>
      <c r="B36" s="7"/>
      <c r="C36" s="7"/>
      <c r="D36" s="7"/>
      <c r="E36" s="7"/>
      <c r="F36" s="7"/>
      <c r="G36" s="7"/>
      <c r="H36" s="7"/>
      <c r="I36" s="7"/>
      <c r="J36" s="7"/>
      <c r="K36" s="7"/>
      <c r="L36" s="7"/>
      <c r="M36" s="7"/>
      <c r="N36" s="196"/>
      <c r="O36" s="196"/>
      <c r="P36" s="196"/>
      <c r="Q36" s="196"/>
      <c r="R36" s="196"/>
      <c r="S36" s="196"/>
      <c r="T36" s="196"/>
      <c r="U36" s="196"/>
      <c r="V36" s="196"/>
      <c r="W36" s="195"/>
      <c r="X36" s="195"/>
      <c r="Y36" s="8"/>
      <c r="Z36" s="8"/>
      <c r="AA36" s="8"/>
      <c r="AB36" s="8"/>
      <c r="AC36" s="8"/>
      <c r="AD36" s="8"/>
    </row>
    <row r="37" spans="1:30" s="5" customFormat="1" ht="20.25" customHeight="1" x14ac:dyDescent="0.3">
      <c r="A37" s="9"/>
      <c r="B37" s="7"/>
      <c r="C37" s="7"/>
      <c r="D37" s="7"/>
      <c r="E37" s="7"/>
      <c r="L37" s="7"/>
      <c r="M37" s="7"/>
      <c r="N37" s="196"/>
      <c r="O37" s="196"/>
      <c r="P37" s="196"/>
      <c r="Q37" s="196"/>
      <c r="R37" s="196"/>
      <c r="S37" s="196"/>
      <c r="T37" s="196"/>
      <c r="U37" s="196"/>
      <c r="V37" s="196"/>
      <c r="W37" s="195"/>
      <c r="X37" s="195"/>
      <c r="Y37" s="8"/>
      <c r="Z37" s="8"/>
      <c r="AA37" s="8"/>
      <c r="AB37" s="8"/>
      <c r="AC37" s="8"/>
      <c r="AD37" s="8"/>
    </row>
    <row r="38" spans="1:30" s="5" customFormat="1" ht="20.25" customHeight="1" x14ac:dyDescent="0.3">
      <c r="A38" s="9"/>
      <c r="B38" s="7"/>
      <c r="C38" s="7"/>
      <c r="D38" s="7"/>
      <c r="E38" s="7"/>
      <c r="F38" s="7"/>
      <c r="G38" s="7"/>
      <c r="H38" s="7"/>
      <c r="I38" s="7"/>
      <c r="J38" s="7"/>
      <c r="K38" s="7"/>
      <c r="L38" s="7"/>
      <c r="M38" s="7"/>
      <c r="N38" s="196"/>
      <c r="O38" s="196"/>
      <c r="P38" s="196"/>
      <c r="Q38" s="196"/>
      <c r="R38" s="196"/>
      <c r="S38" s="196"/>
      <c r="T38" s="196"/>
      <c r="U38" s="196"/>
      <c r="V38" s="196"/>
      <c r="W38" s="195"/>
      <c r="X38" s="195"/>
      <c r="Y38" s="8"/>
      <c r="Z38" s="8"/>
      <c r="AA38" s="8"/>
      <c r="AB38" s="8"/>
      <c r="AC38" s="8"/>
      <c r="AD38" s="8"/>
    </row>
  </sheetData>
  <mergeCells count="35">
    <mergeCell ref="B26:E26"/>
    <mergeCell ref="F26:H26"/>
    <mergeCell ref="B28:L28"/>
    <mergeCell ref="B30:L30"/>
    <mergeCell ref="D23:H23"/>
    <mergeCell ref="B24:C24"/>
    <mergeCell ref="D24:H24"/>
    <mergeCell ref="B25:C25"/>
    <mergeCell ref="D25:H25"/>
    <mergeCell ref="B20:C20"/>
    <mergeCell ref="D20:H20"/>
    <mergeCell ref="B21:C21"/>
    <mergeCell ref="D21:H21"/>
    <mergeCell ref="B22:C22"/>
    <mergeCell ref="D22:H22"/>
    <mergeCell ref="B19:C19"/>
    <mergeCell ref="D19:H19"/>
    <mergeCell ref="D8:G8"/>
    <mergeCell ref="H8:N8"/>
    <mergeCell ref="B11:D11"/>
    <mergeCell ref="B12:C12"/>
    <mergeCell ref="D12:F12"/>
    <mergeCell ref="B13:C13"/>
    <mergeCell ref="D13:F13"/>
    <mergeCell ref="B14:C14"/>
    <mergeCell ref="D14:F14"/>
    <mergeCell ref="B15:C15"/>
    <mergeCell ref="D15:F15"/>
    <mergeCell ref="B17:L17"/>
    <mergeCell ref="A1:M1"/>
    <mergeCell ref="B4:L4"/>
    <mergeCell ref="D6:G6"/>
    <mergeCell ref="H6:N6"/>
    <mergeCell ref="D7:G7"/>
    <mergeCell ref="H7:N7"/>
  </mergeCells>
  <pageMargins left="0.25" right="0.25" top="0.75" bottom="0.75" header="0.3" footer="0.3"/>
  <pageSetup paperSize="9" scale="92" fitToWidth="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tabColor rgb="FFFFFF00"/>
    <pageSetUpPr fitToPage="1"/>
  </sheetPr>
  <dimension ref="A1:R52"/>
  <sheetViews>
    <sheetView view="pageBreakPreview" zoomScale="90" zoomScaleNormal="80" zoomScaleSheetLayoutView="90" workbookViewId="0">
      <selection activeCell="J55" sqref="J55"/>
    </sheetView>
  </sheetViews>
  <sheetFormatPr defaultColWidth="11.44140625" defaultRowHeight="18" customHeight="1" x14ac:dyDescent="0.25"/>
  <cols>
    <col min="1" max="1" width="8.33203125" style="423" customWidth="1"/>
    <col min="2" max="2" width="23.6640625" style="423" customWidth="1"/>
    <col min="3" max="15" width="8.6640625" style="423" customWidth="1"/>
    <col min="16" max="16" width="14.44140625" style="423" bestFit="1" customWidth="1"/>
    <col min="17" max="17" width="13" style="423" bestFit="1" customWidth="1"/>
    <col min="18" max="16384" width="11.44140625" style="423"/>
  </cols>
  <sheetData>
    <row r="1" spans="1:18" ht="18" customHeight="1" thickBot="1" x14ac:dyDescent="0.3"/>
    <row r="2" spans="1:18" ht="30" customHeight="1" thickTop="1" thickBot="1" x14ac:dyDescent="0.3">
      <c r="B2" s="424"/>
      <c r="D2" s="925" t="s">
        <v>492</v>
      </c>
      <c r="E2" s="926"/>
      <c r="F2" s="926"/>
      <c r="G2" s="926"/>
      <c r="H2" s="926"/>
      <c r="I2" s="926"/>
      <c r="J2" s="927"/>
    </row>
    <row r="3" spans="1:18" ht="18" customHeight="1" thickTop="1" thickBot="1" x14ac:dyDescent="0.3"/>
    <row r="4" spans="1:18" ht="18" customHeight="1" thickTop="1" thickBot="1" x14ac:dyDescent="0.3">
      <c r="A4" s="928" t="s">
        <v>493</v>
      </c>
      <c r="B4" s="929"/>
      <c r="C4" s="425" t="s">
        <v>494</v>
      </c>
      <c r="D4" s="425" t="s">
        <v>495</v>
      </c>
      <c r="E4" s="425" t="s">
        <v>496</v>
      </c>
      <c r="F4" s="425" t="s">
        <v>497</v>
      </c>
      <c r="G4" s="425" t="s">
        <v>498</v>
      </c>
      <c r="H4" s="425" t="s">
        <v>499</v>
      </c>
      <c r="I4" s="425" t="s">
        <v>500</v>
      </c>
      <c r="J4" s="425" t="s">
        <v>501</v>
      </c>
      <c r="K4" s="425" t="s">
        <v>502</v>
      </c>
      <c r="L4" s="425" t="s">
        <v>503</v>
      </c>
      <c r="M4" s="425" t="s">
        <v>504</v>
      </c>
      <c r="N4" s="425" t="s">
        <v>505</v>
      </c>
      <c r="O4" s="425" t="s">
        <v>326</v>
      </c>
    </row>
    <row r="5" spans="1:18" ht="18" customHeight="1" thickTop="1" thickBot="1" x14ac:dyDescent="0.3">
      <c r="A5" s="426" t="s">
        <v>506</v>
      </c>
      <c r="B5" s="427"/>
      <c r="C5" s="428">
        <v>0</v>
      </c>
      <c r="D5" s="428">
        <v>0</v>
      </c>
      <c r="E5" s="428">
        <v>0</v>
      </c>
      <c r="F5" s="428">
        <v>0</v>
      </c>
      <c r="G5" s="428">
        <v>0</v>
      </c>
      <c r="H5" s="428">
        <v>0</v>
      </c>
      <c r="I5" s="428">
        <v>0</v>
      </c>
      <c r="J5" s="428">
        <v>0</v>
      </c>
      <c r="K5" s="428">
        <v>0</v>
      </c>
      <c r="L5" s="428">
        <v>0</v>
      </c>
      <c r="M5" s="428">
        <v>0</v>
      </c>
      <c r="N5" s="428">
        <v>0</v>
      </c>
      <c r="O5" s="428">
        <f>SUM(C5:N5)</f>
        <v>0</v>
      </c>
    </row>
    <row r="6" spans="1:18" ht="18" customHeight="1" thickTop="1" thickBot="1" x14ac:dyDescent="0.3">
      <c r="A6" s="429" t="s">
        <v>507</v>
      </c>
      <c r="B6" s="427"/>
      <c r="C6" s="428">
        <f>C5*0.7</f>
        <v>0</v>
      </c>
      <c r="D6" s="428">
        <f t="shared" ref="D6:N6" si="0">D5*0.7</f>
        <v>0</v>
      </c>
      <c r="E6" s="428">
        <f t="shared" si="0"/>
        <v>0</v>
      </c>
      <c r="F6" s="428">
        <f t="shared" si="0"/>
        <v>0</v>
      </c>
      <c r="G6" s="428">
        <f t="shared" si="0"/>
        <v>0</v>
      </c>
      <c r="H6" s="428">
        <f t="shared" si="0"/>
        <v>0</v>
      </c>
      <c r="I6" s="428">
        <f t="shared" si="0"/>
        <v>0</v>
      </c>
      <c r="J6" s="428">
        <f t="shared" si="0"/>
        <v>0</v>
      </c>
      <c r="K6" s="428">
        <f t="shared" si="0"/>
        <v>0</v>
      </c>
      <c r="L6" s="428">
        <f t="shared" si="0"/>
        <v>0</v>
      </c>
      <c r="M6" s="428">
        <f t="shared" si="0"/>
        <v>0</v>
      </c>
      <c r="N6" s="428">
        <f t="shared" si="0"/>
        <v>0</v>
      </c>
      <c r="O6" s="428">
        <f>SUM(C6:N6)</f>
        <v>0</v>
      </c>
    </row>
    <row r="7" spans="1:18" ht="18" customHeight="1" thickTop="1" thickBot="1" x14ac:dyDescent="0.3">
      <c r="A7" s="910" t="s">
        <v>508</v>
      </c>
      <c r="B7" s="911"/>
      <c r="C7" s="430">
        <v>2</v>
      </c>
      <c r="D7" s="430">
        <v>2.5</v>
      </c>
      <c r="E7" s="430">
        <v>3.5</v>
      </c>
      <c r="F7" s="430">
        <v>5.5</v>
      </c>
      <c r="G7" s="430">
        <v>5.5</v>
      </c>
      <c r="H7" s="430">
        <v>6.5</v>
      </c>
      <c r="I7" s="430">
        <v>7.5</v>
      </c>
      <c r="J7" s="430">
        <v>7.5</v>
      </c>
      <c r="K7" s="430">
        <v>5</v>
      </c>
      <c r="L7" s="430">
        <v>4.4000000000000004</v>
      </c>
      <c r="M7" s="430">
        <v>2.2000000000000002</v>
      </c>
      <c r="N7" s="430">
        <v>2</v>
      </c>
      <c r="O7" s="431" t="s">
        <v>26</v>
      </c>
    </row>
    <row r="8" spans="1:18" ht="18" customHeight="1" thickTop="1" thickBot="1" x14ac:dyDescent="0.3">
      <c r="A8" s="930" t="s">
        <v>509</v>
      </c>
      <c r="B8" s="931"/>
      <c r="C8" s="432">
        <v>31</v>
      </c>
      <c r="D8" s="432">
        <v>29</v>
      </c>
      <c r="E8" s="432">
        <v>31</v>
      </c>
      <c r="F8" s="432">
        <v>30</v>
      </c>
      <c r="G8" s="432">
        <v>31</v>
      </c>
      <c r="H8" s="432">
        <v>30</v>
      </c>
      <c r="I8" s="432">
        <v>31</v>
      </c>
      <c r="J8" s="432">
        <v>31</v>
      </c>
      <c r="K8" s="432">
        <v>30</v>
      </c>
      <c r="L8" s="432">
        <v>31</v>
      </c>
      <c r="M8" s="432">
        <v>30</v>
      </c>
      <c r="N8" s="432">
        <v>31</v>
      </c>
      <c r="O8" s="433">
        <f>SUM(C8:N8)</f>
        <v>366</v>
      </c>
    </row>
    <row r="9" spans="1:18" ht="18" customHeight="1" thickBot="1" x14ac:dyDescent="0.3">
      <c r="A9" s="932" t="s">
        <v>562</v>
      </c>
      <c r="B9" s="434" t="s">
        <v>510</v>
      </c>
      <c r="C9" s="435">
        <v>0.67</v>
      </c>
      <c r="D9" s="435">
        <v>0.67</v>
      </c>
      <c r="E9" s="435">
        <v>0.67</v>
      </c>
      <c r="F9" s="435">
        <v>0.67</v>
      </c>
      <c r="G9" s="435">
        <v>0.67</v>
      </c>
      <c r="H9" s="435">
        <v>0.72</v>
      </c>
      <c r="I9" s="435">
        <v>0.75</v>
      </c>
      <c r="J9" s="435">
        <v>0.7</v>
      </c>
      <c r="K9" s="435">
        <v>0.72</v>
      </c>
      <c r="L9" s="435">
        <v>0.72</v>
      </c>
      <c r="M9" s="435">
        <v>0.67</v>
      </c>
      <c r="N9" s="435">
        <v>0.67</v>
      </c>
      <c r="O9" s="436" t="s">
        <v>26</v>
      </c>
    </row>
    <row r="10" spans="1:18" ht="18" customHeight="1" thickTop="1" thickBot="1" x14ac:dyDescent="0.3">
      <c r="A10" s="933"/>
      <c r="B10" s="437" t="s">
        <v>511</v>
      </c>
      <c r="C10" s="438">
        <f>+C9*C7</f>
        <v>1.34</v>
      </c>
      <c r="D10" s="438">
        <f t="shared" ref="D10:N10" si="1">+D9*D7</f>
        <v>1.675</v>
      </c>
      <c r="E10" s="438">
        <f t="shared" si="1"/>
        <v>2.3450000000000002</v>
      </c>
      <c r="F10" s="438">
        <f t="shared" si="1"/>
        <v>3.6850000000000001</v>
      </c>
      <c r="G10" s="438">
        <f t="shared" si="1"/>
        <v>3.6850000000000001</v>
      </c>
      <c r="H10" s="438">
        <f t="shared" si="1"/>
        <v>4.68</v>
      </c>
      <c r="I10" s="438">
        <f t="shared" si="1"/>
        <v>5.625</v>
      </c>
      <c r="J10" s="438">
        <f t="shared" si="1"/>
        <v>5.25</v>
      </c>
      <c r="K10" s="438">
        <f t="shared" si="1"/>
        <v>3.5999999999999996</v>
      </c>
      <c r="L10" s="438">
        <f t="shared" si="1"/>
        <v>3.1680000000000001</v>
      </c>
      <c r="M10" s="438">
        <f t="shared" si="1"/>
        <v>1.4740000000000002</v>
      </c>
      <c r="N10" s="438">
        <f t="shared" si="1"/>
        <v>1.34</v>
      </c>
      <c r="O10" s="439" t="s">
        <v>26</v>
      </c>
    </row>
    <row r="11" spans="1:18" ht="18" customHeight="1" thickTop="1" thickBot="1" x14ac:dyDescent="0.3">
      <c r="A11" s="933"/>
      <c r="B11" s="437" t="s">
        <v>512</v>
      </c>
      <c r="C11" s="430">
        <v>0.7</v>
      </c>
      <c r="D11" s="430">
        <v>0.7</v>
      </c>
      <c r="E11" s="430">
        <v>0.7</v>
      </c>
      <c r="F11" s="430">
        <v>0.7</v>
      </c>
      <c r="G11" s="430">
        <v>0.7</v>
      </c>
      <c r="H11" s="430">
        <v>0.7</v>
      </c>
      <c r="I11" s="430">
        <v>0.75</v>
      </c>
      <c r="J11" s="430">
        <f t="shared" ref="J11" si="2">+I11</f>
        <v>0.75</v>
      </c>
      <c r="K11" s="430">
        <v>0.7</v>
      </c>
      <c r="L11" s="430">
        <v>0.7</v>
      </c>
      <c r="M11" s="430">
        <v>0.7</v>
      </c>
      <c r="N11" s="430">
        <v>0.7</v>
      </c>
      <c r="O11" s="439" t="s">
        <v>26</v>
      </c>
      <c r="R11" s="924"/>
    </row>
    <row r="12" spans="1:18" ht="18" customHeight="1" thickTop="1" thickBot="1" x14ac:dyDescent="0.3">
      <c r="A12" s="933"/>
      <c r="B12" s="437" t="s">
        <v>513</v>
      </c>
      <c r="C12" s="438">
        <f>C10*C11</f>
        <v>0.93799999999999994</v>
      </c>
      <c r="D12" s="438">
        <f t="shared" ref="D12:N12" si="3">D10*D11</f>
        <v>1.1724999999999999</v>
      </c>
      <c r="E12" s="438">
        <f t="shared" si="3"/>
        <v>1.6415</v>
      </c>
      <c r="F12" s="438">
        <f t="shared" si="3"/>
        <v>2.5794999999999999</v>
      </c>
      <c r="G12" s="438">
        <f t="shared" si="3"/>
        <v>2.5794999999999999</v>
      </c>
      <c r="H12" s="438">
        <f t="shared" si="3"/>
        <v>3.2759999999999998</v>
      </c>
      <c r="I12" s="438">
        <f t="shared" si="3"/>
        <v>4.21875</v>
      </c>
      <c r="J12" s="438">
        <f t="shared" si="3"/>
        <v>3.9375</v>
      </c>
      <c r="K12" s="438">
        <f t="shared" si="3"/>
        <v>2.5199999999999996</v>
      </c>
      <c r="L12" s="438">
        <f t="shared" si="3"/>
        <v>2.2176</v>
      </c>
      <c r="M12" s="438">
        <f t="shared" si="3"/>
        <v>1.0318000000000001</v>
      </c>
      <c r="N12" s="438">
        <f t="shared" si="3"/>
        <v>0.93799999999999994</v>
      </c>
      <c r="O12" s="439" t="s">
        <v>26</v>
      </c>
      <c r="P12" s="423" t="s">
        <v>514</v>
      </c>
      <c r="R12" s="924"/>
    </row>
    <row r="13" spans="1:18" ht="18" customHeight="1" thickTop="1" thickBot="1" x14ac:dyDescent="0.3">
      <c r="A13" s="933"/>
      <c r="B13" s="437" t="s">
        <v>515</v>
      </c>
      <c r="C13" s="440">
        <f>C12/0.9</f>
        <v>1.0422222222222222</v>
      </c>
      <c r="D13" s="440">
        <f t="shared" ref="D13:N13" si="4">D12/0.9</f>
        <v>1.3027777777777776</v>
      </c>
      <c r="E13" s="440">
        <f t="shared" si="4"/>
        <v>1.8238888888888889</v>
      </c>
      <c r="F13" s="440">
        <f t="shared" si="4"/>
        <v>2.8661111111111111</v>
      </c>
      <c r="G13" s="440">
        <f t="shared" si="4"/>
        <v>2.8661111111111111</v>
      </c>
      <c r="H13" s="440">
        <f t="shared" si="4"/>
        <v>3.6399999999999997</v>
      </c>
      <c r="I13" s="441">
        <f t="shared" si="4"/>
        <v>4.6875</v>
      </c>
      <c r="J13" s="440">
        <f t="shared" si="4"/>
        <v>4.375</v>
      </c>
      <c r="K13" s="440">
        <f t="shared" si="4"/>
        <v>2.7999999999999994</v>
      </c>
      <c r="L13" s="440">
        <f t="shared" si="4"/>
        <v>2.464</v>
      </c>
      <c r="M13" s="440">
        <f t="shared" si="4"/>
        <v>1.1464444444444444</v>
      </c>
      <c r="N13" s="440">
        <f t="shared" si="4"/>
        <v>1.0422222222222222</v>
      </c>
      <c r="O13" s="439" t="s">
        <v>26</v>
      </c>
      <c r="R13" s="924"/>
    </row>
    <row r="14" spans="1:18" ht="18" customHeight="1" thickTop="1" thickBot="1" x14ac:dyDescent="0.3">
      <c r="A14" s="933"/>
      <c r="B14" s="437" t="s">
        <v>516</v>
      </c>
      <c r="C14" s="438">
        <f>C13*10*C8</f>
        <v>323.08888888888885</v>
      </c>
      <c r="D14" s="438">
        <f t="shared" ref="D14:N14" si="5">D13*10*D8</f>
        <v>377.80555555555549</v>
      </c>
      <c r="E14" s="438">
        <f t="shared" si="5"/>
        <v>565.40555555555545</v>
      </c>
      <c r="F14" s="438">
        <f t="shared" si="5"/>
        <v>859.83333333333337</v>
      </c>
      <c r="G14" s="438">
        <f t="shared" si="5"/>
        <v>888.49444444444441</v>
      </c>
      <c r="H14" s="438">
        <f t="shared" si="5"/>
        <v>1092</v>
      </c>
      <c r="I14" s="438">
        <f t="shared" si="5"/>
        <v>1453.125</v>
      </c>
      <c r="J14" s="438">
        <f t="shared" si="5"/>
        <v>1356.25</v>
      </c>
      <c r="K14" s="438">
        <f t="shared" si="5"/>
        <v>839.99999999999977</v>
      </c>
      <c r="L14" s="438">
        <f t="shared" si="5"/>
        <v>763.84</v>
      </c>
      <c r="M14" s="438">
        <f t="shared" si="5"/>
        <v>343.93333333333334</v>
      </c>
      <c r="N14" s="438">
        <f t="shared" si="5"/>
        <v>323.08888888888885</v>
      </c>
      <c r="O14" s="439">
        <f>SUM(C14:N14)</f>
        <v>9186.8649999999998</v>
      </c>
    </row>
    <row r="15" spans="1:18" ht="18" customHeight="1" thickTop="1" thickBot="1" x14ac:dyDescent="0.3">
      <c r="A15" s="933"/>
      <c r="B15" s="437" t="s">
        <v>517</v>
      </c>
      <c r="C15" s="442">
        <v>2.93</v>
      </c>
      <c r="D15" s="443">
        <f>$C$15</f>
        <v>2.93</v>
      </c>
      <c r="E15" s="443">
        <f t="shared" ref="E15:O15" si="6">$C$15</f>
        <v>2.93</v>
      </c>
      <c r="F15" s="443">
        <f t="shared" si="6"/>
        <v>2.93</v>
      </c>
      <c r="G15" s="443">
        <f t="shared" si="6"/>
        <v>2.93</v>
      </c>
      <c r="H15" s="443">
        <f t="shared" si="6"/>
        <v>2.93</v>
      </c>
      <c r="I15" s="443">
        <f t="shared" si="6"/>
        <v>2.93</v>
      </c>
      <c r="J15" s="443">
        <f t="shared" si="6"/>
        <v>2.93</v>
      </c>
      <c r="K15" s="443">
        <f t="shared" si="6"/>
        <v>2.93</v>
      </c>
      <c r="L15" s="443">
        <f t="shared" si="6"/>
        <v>2.93</v>
      </c>
      <c r="M15" s="443">
        <f t="shared" si="6"/>
        <v>2.93</v>
      </c>
      <c r="N15" s="443">
        <f t="shared" si="6"/>
        <v>2.93</v>
      </c>
      <c r="O15" s="444">
        <f t="shared" si="6"/>
        <v>2.93</v>
      </c>
    </row>
    <row r="16" spans="1:18" ht="18" customHeight="1" thickTop="1" thickBot="1" x14ac:dyDescent="0.3">
      <c r="A16" s="934"/>
      <c r="B16" s="445" t="s">
        <v>518</v>
      </c>
      <c r="C16" s="446">
        <f>+C15*C14</f>
        <v>946.65044444444436</v>
      </c>
      <c r="D16" s="446">
        <f t="shared" ref="D16:N16" si="7">+D15*D14</f>
        <v>1106.9702777777777</v>
      </c>
      <c r="E16" s="446">
        <f t="shared" si="7"/>
        <v>1656.6382777777776</v>
      </c>
      <c r="F16" s="446">
        <f t="shared" si="7"/>
        <v>2519.311666666667</v>
      </c>
      <c r="G16" s="446">
        <f t="shared" si="7"/>
        <v>2603.2887222222221</v>
      </c>
      <c r="H16" s="446">
        <f t="shared" si="7"/>
        <v>3199.5600000000004</v>
      </c>
      <c r="I16" s="446">
        <f t="shared" si="7"/>
        <v>4257.65625</v>
      </c>
      <c r="J16" s="446">
        <f t="shared" si="7"/>
        <v>3973.8125</v>
      </c>
      <c r="K16" s="446">
        <f t="shared" si="7"/>
        <v>2461.1999999999994</v>
      </c>
      <c r="L16" s="446">
        <f t="shared" si="7"/>
        <v>2238.0512000000003</v>
      </c>
      <c r="M16" s="446">
        <f t="shared" si="7"/>
        <v>1007.7246666666667</v>
      </c>
      <c r="N16" s="446">
        <f t="shared" si="7"/>
        <v>946.65044444444436</v>
      </c>
      <c r="O16" s="447">
        <f>SUM(C16:N16)</f>
        <v>26917.514449999999</v>
      </c>
    </row>
    <row r="17" spans="1:15" ht="18" hidden="1" customHeight="1" thickBot="1" x14ac:dyDescent="0.3">
      <c r="A17" s="915" t="s">
        <v>519</v>
      </c>
      <c r="B17" s="448" t="s">
        <v>510</v>
      </c>
      <c r="C17" s="435">
        <v>0</v>
      </c>
      <c r="D17" s="435">
        <v>0</v>
      </c>
      <c r="E17" s="435">
        <v>0</v>
      </c>
      <c r="F17" s="435">
        <v>0.5</v>
      </c>
      <c r="G17" s="435">
        <v>0.5</v>
      </c>
      <c r="H17" s="435">
        <v>0.75</v>
      </c>
      <c r="I17" s="435">
        <v>0.82</v>
      </c>
      <c r="J17" s="435">
        <v>0.75</v>
      </c>
      <c r="K17" s="435">
        <v>0.6</v>
      </c>
      <c r="L17" s="435">
        <v>0</v>
      </c>
      <c r="M17" s="435">
        <v>0</v>
      </c>
      <c r="N17" s="435">
        <v>0</v>
      </c>
      <c r="O17" s="436" t="s">
        <v>26</v>
      </c>
    </row>
    <row r="18" spans="1:15" ht="18" hidden="1" customHeight="1" thickTop="1" thickBot="1" x14ac:dyDescent="0.3">
      <c r="A18" s="916"/>
      <c r="B18" s="449" t="s">
        <v>511</v>
      </c>
      <c r="C18" s="438">
        <f t="shared" ref="C18:N18" si="8">+C17*C7</f>
        <v>0</v>
      </c>
      <c r="D18" s="438">
        <f t="shared" si="8"/>
        <v>0</v>
      </c>
      <c r="E18" s="438">
        <f t="shared" si="8"/>
        <v>0</v>
      </c>
      <c r="F18" s="438">
        <f t="shared" si="8"/>
        <v>2.75</v>
      </c>
      <c r="G18" s="438">
        <f t="shared" si="8"/>
        <v>2.75</v>
      </c>
      <c r="H18" s="438">
        <f t="shared" si="8"/>
        <v>4.875</v>
      </c>
      <c r="I18" s="438">
        <f t="shared" si="8"/>
        <v>6.1499999999999995</v>
      </c>
      <c r="J18" s="438">
        <f t="shared" si="8"/>
        <v>5.625</v>
      </c>
      <c r="K18" s="438">
        <f t="shared" si="8"/>
        <v>3</v>
      </c>
      <c r="L18" s="438">
        <f t="shared" si="8"/>
        <v>0</v>
      </c>
      <c r="M18" s="438">
        <f t="shared" si="8"/>
        <v>0</v>
      </c>
      <c r="N18" s="438">
        <f t="shared" si="8"/>
        <v>0</v>
      </c>
      <c r="O18" s="439" t="s">
        <v>26</v>
      </c>
    </row>
    <row r="19" spans="1:15" ht="18" hidden="1" customHeight="1" thickTop="1" thickBot="1" x14ac:dyDescent="0.3">
      <c r="A19" s="916"/>
      <c r="B19" s="449" t="s">
        <v>512</v>
      </c>
      <c r="C19" s="430">
        <v>0.9</v>
      </c>
      <c r="D19" s="430">
        <f t="shared" ref="D19:N19" si="9">+C19</f>
        <v>0.9</v>
      </c>
      <c r="E19" s="430">
        <f t="shared" si="9"/>
        <v>0.9</v>
      </c>
      <c r="F19" s="430">
        <f t="shared" si="9"/>
        <v>0.9</v>
      </c>
      <c r="G19" s="430">
        <f t="shared" si="9"/>
        <v>0.9</v>
      </c>
      <c r="H19" s="430">
        <f t="shared" si="9"/>
        <v>0.9</v>
      </c>
      <c r="I19" s="430">
        <f t="shared" si="9"/>
        <v>0.9</v>
      </c>
      <c r="J19" s="430">
        <f t="shared" si="9"/>
        <v>0.9</v>
      </c>
      <c r="K19" s="430">
        <f t="shared" si="9"/>
        <v>0.9</v>
      </c>
      <c r="L19" s="430">
        <f t="shared" si="9"/>
        <v>0.9</v>
      </c>
      <c r="M19" s="430">
        <f t="shared" si="9"/>
        <v>0.9</v>
      </c>
      <c r="N19" s="430">
        <f t="shared" si="9"/>
        <v>0.9</v>
      </c>
      <c r="O19" s="439" t="s">
        <v>26</v>
      </c>
    </row>
    <row r="20" spans="1:15" ht="18" hidden="1" customHeight="1" thickTop="1" thickBot="1" x14ac:dyDescent="0.3">
      <c r="A20" s="916"/>
      <c r="B20" s="449" t="s">
        <v>513</v>
      </c>
      <c r="C20" s="438">
        <f t="shared" ref="C20:N20" si="10">C18*C19</f>
        <v>0</v>
      </c>
      <c r="D20" s="438">
        <f t="shared" si="10"/>
        <v>0</v>
      </c>
      <c r="E20" s="438">
        <f t="shared" si="10"/>
        <v>0</v>
      </c>
      <c r="F20" s="438">
        <f t="shared" si="10"/>
        <v>2.4750000000000001</v>
      </c>
      <c r="G20" s="438">
        <f t="shared" si="10"/>
        <v>2.4750000000000001</v>
      </c>
      <c r="H20" s="438">
        <f t="shared" si="10"/>
        <v>4.3875000000000002</v>
      </c>
      <c r="I20" s="438">
        <f t="shared" si="10"/>
        <v>5.5349999999999993</v>
      </c>
      <c r="J20" s="438">
        <f t="shared" si="10"/>
        <v>5.0625</v>
      </c>
      <c r="K20" s="438">
        <f t="shared" si="10"/>
        <v>2.7</v>
      </c>
      <c r="L20" s="438">
        <f t="shared" si="10"/>
        <v>0</v>
      </c>
      <c r="M20" s="438">
        <f t="shared" si="10"/>
        <v>0</v>
      </c>
      <c r="N20" s="438">
        <f t="shared" si="10"/>
        <v>0</v>
      </c>
      <c r="O20" s="439" t="s">
        <v>26</v>
      </c>
    </row>
    <row r="21" spans="1:15" ht="18" hidden="1" customHeight="1" thickTop="1" thickBot="1" x14ac:dyDescent="0.3">
      <c r="A21" s="916"/>
      <c r="B21" s="449" t="s">
        <v>515</v>
      </c>
      <c r="C21" s="440">
        <f t="shared" ref="C21:N21" si="11">C20/0.9</f>
        <v>0</v>
      </c>
      <c r="D21" s="440">
        <f t="shared" si="11"/>
        <v>0</v>
      </c>
      <c r="E21" s="440">
        <f t="shared" si="11"/>
        <v>0</v>
      </c>
      <c r="F21" s="440">
        <f t="shared" si="11"/>
        <v>2.75</v>
      </c>
      <c r="G21" s="440">
        <f t="shared" si="11"/>
        <v>2.75</v>
      </c>
      <c r="H21" s="440">
        <f t="shared" si="11"/>
        <v>4.875</v>
      </c>
      <c r="I21" s="441">
        <f t="shared" si="11"/>
        <v>6.1499999999999986</v>
      </c>
      <c r="J21" s="440">
        <f t="shared" si="11"/>
        <v>5.625</v>
      </c>
      <c r="K21" s="440">
        <f t="shared" si="11"/>
        <v>3</v>
      </c>
      <c r="L21" s="440">
        <f t="shared" si="11"/>
        <v>0</v>
      </c>
      <c r="M21" s="440">
        <f t="shared" si="11"/>
        <v>0</v>
      </c>
      <c r="N21" s="440">
        <f t="shared" si="11"/>
        <v>0</v>
      </c>
      <c r="O21" s="439" t="s">
        <v>26</v>
      </c>
    </row>
    <row r="22" spans="1:15" ht="18" hidden="1" customHeight="1" thickTop="1" thickBot="1" x14ac:dyDescent="0.3">
      <c r="A22" s="916"/>
      <c r="B22" s="449" t="s">
        <v>516</v>
      </c>
      <c r="C22" s="431">
        <f t="shared" ref="C22:N22" si="12">+C21*C8*10</f>
        <v>0</v>
      </c>
      <c r="D22" s="431">
        <f t="shared" si="12"/>
        <v>0</v>
      </c>
      <c r="E22" s="431">
        <f t="shared" si="12"/>
        <v>0</v>
      </c>
      <c r="F22" s="431">
        <f t="shared" si="12"/>
        <v>825</v>
      </c>
      <c r="G22" s="431">
        <f t="shared" si="12"/>
        <v>852.5</v>
      </c>
      <c r="H22" s="431">
        <f t="shared" si="12"/>
        <v>1462.5</v>
      </c>
      <c r="I22" s="431">
        <f t="shared" si="12"/>
        <v>1906.4999999999995</v>
      </c>
      <c r="J22" s="431">
        <f t="shared" si="12"/>
        <v>1743.75</v>
      </c>
      <c r="K22" s="431">
        <f t="shared" si="12"/>
        <v>900</v>
      </c>
      <c r="L22" s="431">
        <f t="shared" si="12"/>
        <v>0</v>
      </c>
      <c r="M22" s="431">
        <f t="shared" si="12"/>
        <v>0</v>
      </c>
      <c r="N22" s="431">
        <f t="shared" si="12"/>
        <v>0</v>
      </c>
      <c r="O22" s="439">
        <f>SUM(C22:N22)</f>
        <v>7690.25</v>
      </c>
    </row>
    <row r="23" spans="1:15" ht="18" hidden="1" customHeight="1" thickTop="1" thickBot="1" x14ac:dyDescent="0.3">
      <c r="A23" s="916"/>
      <c r="B23" s="449" t="s">
        <v>517</v>
      </c>
      <c r="C23" s="450"/>
      <c r="D23" s="451">
        <f t="shared" ref="D23:N23" si="13">C23</f>
        <v>0</v>
      </c>
      <c r="E23" s="451">
        <f t="shared" si="13"/>
        <v>0</v>
      </c>
      <c r="F23" s="451">
        <f t="shared" si="13"/>
        <v>0</v>
      </c>
      <c r="G23" s="451">
        <f t="shared" si="13"/>
        <v>0</v>
      </c>
      <c r="H23" s="451">
        <f t="shared" si="13"/>
        <v>0</v>
      </c>
      <c r="I23" s="451">
        <f t="shared" si="13"/>
        <v>0</v>
      </c>
      <c r="J23" s="451">
        <f t="shared" si="13"/>
        <v>0</v>
      </c>
      <c r="K23" s="451">
        <f t="shared" si="13"/>
        <v>0</v>
      </c>
      <c r="L23" s="451">
        <f t="shared" si="13"/>
        <v>0</v>
      </c>
      <c r="M23" s="451">
        <f t="shared" si="13"/>
        <v>0</v>
      </c>
      <c r="N23" s="451">
        <f t="shared" si="13"/>
        <v>0</v>
      </c>
      <c r="O23" s="452">
        <f>+C23</f>
        <v>0</v>
      </c>
    </row>
    <row r="24" spans="1:15" ht="18" hidden="1" customHeight="1" thickTop="1" thickBot="1" x14ac:dyDescent="0.3">
      <c r="A24" s="917"/>
      <c r="B24" s="453" t="s">
        <v>518</v>
      </c>
      <c r="C24" s="446">
        <f t="shared" ref="C24:N24" si="14">+C23*C22</f>
        <v>0</v>
      </c>
      <c r="D24" s="446">
        <f t="shared" si="14"/>
        <v>0</v>
      </c>
      <c r="E24" s="446">
        <f t="shared" si="14"/>
        <v>0</v>
      </c>
      <c r="F24" s="446">
        <f t="shared" si="14"/>
        <v>0</v>
      </c>
      <c r="G24" s="446">
        <f t="shared" si="14"/>
        <v>0</v>
      </c>
      <c r="H24" s="446">
        <f t="shared" si="14"/>
        <v>0</v>
      </c>
      <c r="I24" s="446">
        <f t="shared" si="14"/>
        <v>0</v>
      </c>
      <c r="J24" s="446">
        <f t="shared" si="14"/>
        <v>0</v>
      </c>
      <c r="K24" s="446">
        <f t="shared" si="14"/>
        <v>0</v>
      </c>
      <c r="L24" s="446">
        <f t="shared" si="14"/>
        <v>0</v>
      </c>
      <c r="M24" s="446">
        <f t="shared" si="14"/>
        <v>0</v>
      </c>
      <c r="N24" s="446">
        <f t="shared" si="14"/>
        <v>0</v>
      </c>
      <c r="O24" s="447">
        <f>SUM(C24:N24)</f>
        <v>0</v>
      </c>
    </row>
    <row r="25" spans="1:15" ht="18" hidden="1" customHeight="1" thickBot="1" x14ac:dyDescent="0.3">
      <c r="A25" s="915" t="s">
        <v>520</v>
      </c>
      <c r="B25" s="448" t="s">
        <v>510</v>
      </c>
      <c r="C25" s="435">
        <v>0.2</v>
      </c>
      <c r="D25" s="435">
        <v>0.3</v>
      </c>
      <c r="E25" s="435">
        <v>0.4</v>
      </c>
      <c r="F25" s="435">
        <v>0.7</v>
      </c>
      <c r="G25" s="435">
        <v>0.8</v>
      </c>
      <c r="H25" s="435">
        <v>1</v>
      </c>
      <c r="I25" s="435">
        <v>0.9</v>
      </c>
      <c r="J25" s="435">
        <v>0.8</v>
      </c>
      <c r="K25" s="435">
        <v>0.5</v>
      </c>
      <c r="L25" s="435">
        <v>0.3</v>
      </c>
      <c r="M25" s="435">
        <v>0.2</v>
      </c>
      <c r="N25" s="435">
        <v>0.2</v>
      </c>
      <c r="O25" s="436" t="s">
        <v>26</v>
      </c>
    </row>
    <row r="26" spans="1:15" ht="18" hidden="1" customHeight="1" thickTop="1" thickBot="1" x14ac:dyDescent="0.3">
      <c r="A26" s="916"/>
      <c r="B26" s="449" t="s">
        <v>511</v>
      </c>
      <c r="C26" s="438">
        <f t="shared" ref="C26:N26" si="15">+C25*C7</f>
        <v>0.4</v>
      </c>
      <c r="D26" s="438">
        <f t="shared" si="15"/>
        <v>0.75</v>
      </c>
      <c r="E26" s="438">
        <f t="shared" si="15"/>
        <v>1.4000000000000001</v>
      </c>
      <c r="F26" s="438">
        <f t="shared" si="15"/>
        <v>3.8499999999999996</v>
      </c>
      <c r="G26" s="438">
        <f t="shared" si="15"/>
        <v>4.4000000000000004</v>
      </c>
      <c r="H26" s="438">
        <f t="shared" si="15"/>
        <v>6.5</v>
      </c>
      <c r="I26" s="438">
        <f t="shared" si="15"/>
        <v>6.75</v>
      </c>
      <c r="J26" s="438">
        <f t="shared" si="15"/>
        <v>6</v>
      </c>
      <c r="K26" s="438">
        <f t="shared" si="15"/>
        <v>2.5</v>
      </c>
      <c r="L26" s="438">
        <f t="shared" si="15"/>
        <v>1.32</v>
      </c>
      <c r="M26" s="438">
        <f t="shared" si="15"/>
        <v>0.44000000000000006</v>
      </c>
      <c r="N26" s="438">
        <f t="shared" si="15"/>
        <v>0.4</v>
      </c>
      <c r="O26" s="439" t="s">
        <v>26</v>
      </c>
    </row>
    <row r="27" spans="1:15" ht="18" hidden="1" customHeight="1" thickTop="1" thickBot="1" x14ac:dyDescent="0.3">
      <c r="A27" s="916"/>
      <c r="B27" s="449" t="s">
        <v>512</v>
      </c>
      <c r="C27" s="430">
        <v>0.7</v>
      </c>
      <c r="D27" s="430">
        <f t="shared" ref="D27:N27" si="16">+C27</f>
        <v>0.7</v>
      </c>
      <c r="E27" s="430">
        <f t="shared" si="16"/>
        <v>0.7</v>
      </c>
      <c r="F27" s="430">
        <f t="shared" si="16"/>
        <v>0.7</v>
      </c>
      <c r="G27" s="430">
        <f t="shared" si="16"/>
        <v>0.7</v>
      </c>
      <c r="H27" s="430">
        <f t="shared" si="16"/>
        <v>0.7</v>
      </c>
      <c r="I27" s="430">
        <f t="shared" si="16"/>
        <v>0.7</v>
      </c>
      <c r="J27" s="430">
        <f t="shared" si="16"/>
        <v>0.7</v>
      </c>
      <c r="K27" s="430">
        <f t="shared" si="16"/>
        <v>0.7</v>
      </c>
      <c r="L27" s="430">
        <f t="shared" si="16"/>
        <v>0.7</v>
      </c>
      <c r="M27" s="430">
        <f t="shared" si="16"/>
        <v>0.7</v>
      </c>
      <c r="N27" s="430">
        <f t="shared" si="16"/>
        <v>0.7</v>
      </c>
      <c r="O27" s="439" t="s">
        <v>26</v>
      </c>
    </row>
    <row r="28" spans="1:15" ht="18" hidden="1" customHeight="1" thickTop="1" thickBot="1" x14ac:dyDescent="0.3">
      <c r="A28" s="916"/>
      <c r="B28" s="449" t="s">
        <v>513</v>
      </c>
      <c r="C28" s="438">
        <f t="shared" ref="C28:N28" si="17">C26*C27</f>
        <v>0.27999999999999997</v>
      </c>
      <c r="D28" s="438">
        <f t="shared" si="17"/>
        <v>0.52499999999999991</v>
      </c>
      <c r="E28" s="438">
        <f t="shared" si="17"/>
        <v>0.98</v>
      </c>
      <c r="F28" s="438">
        <f t="shared" si="17"/>
        <v>2.6949999999999994</v>
      </c>
      <c r="G28" s="438">
        <f t="shared" si="17"/>
        <v>3.08</v>
      </c>
      <c r="H28" s="438">
        <f t="shared" si="17"/>
        <v>4.55</v>
      </c>
      <c r="I28" s="438">
        <f t="shared" si="17"/>
        <v>4.7249999999999996</v>
      </c>
      <c r="J28" s="438">
        <f t="shared" si="17"/>
        <v>4.1999999999999993</v>
      </c>
      <c r="K28" s="438">
        <f t="shared" si="17"/>
        <v>1.75</v>
      </c>
      <c r="L28" s="438">
        <f t="shared" si="17"/>
        <v>0.92399999999999993</v>
      </c>
      <c r="M28" s="438">
        <f t="shared" si="17"/>
        <v>0.308</v>
      </c>
      <c r="N28" s="438">
        <f t="shared" si="17"/>
        <v>0.27999999999999997</v>
      </c>
      <c r="O28" s="439" t="s">
        <v>26</v>
      </c>
    </row>
    <row r="29" spans="1:15" ht="18" hidden="1" customHeight="1" thickTop="1" thickBot="1" x14ac:dyDescent="0.3">
      <c r="A29" s="916"/>
      <c r="B29" s="449" t="s">
        <v>515</v>
      </c>
      <c r="C29" s="440">
        <f t="shared" ref="C29:N29" si="18">C28/0.9</f>
        <v>0.31111111111111106</v>
      </c>
      <c r="D29" s="440">
        <f t="shared" si="18"/>
        <v>0.58333333333333326</v>
      </c>
      <c r="E29" s="440">
        <f t="shared" si="18"/>
        <v>1.0888888888888888</v>
      </c>
      <c r="F29" s="440">
        <f t="shared" si="18"/>
        <v>2.9944444444444436</v>
      </c>
      <c r="G29" s="440">
        <f t="shared" si="18"/>
        <v>3.4222222222222221</v>
      </c>
      <c r="H29" s="440">
        <f t="shared" si="18"/>
        <v>5.0555555555555554</v>
      </c>
      <c r="I29" s="454">
        <f t="shared" si="18"/>
        <v>5.2499999999999991</v>
      </c>
      <c r="J29" s="440">
        <f t="shared" si="18"/>
        <v>4.6666666666666661</v>
      </c>
      <c r="K29" s="440">
        <f t="shared" si="18"/>
        <v>1.9444444444444444</v>
      </c>
      <c r="L29" s="440">
        <f t="shared" si="18"/>
        <v>1.0266666666666666</v>
      </c>
      <c r="M29" s="440">
        <f t="shared" si="18"/>
        <v>0.34222222222222221</v>
      </c>
      <c r="N29" s="440">
        <f t="shared" si="18"/>
        <v>0.31111111111111106</v>
      </c>
      <c r="O29" s="439" t="s">
        <v>26</v>
      </c>
    </row>
    <row r="30" spans="1:15" ht="18" hidden="1" customHeight="1" thickTop="1" thickBot="1" x14ac:dyDescent="0.3">
      <c r="A30" s="916"/>
      <c r="B30" s="449" t="s">
        <v>516</v>
      </c>
      <c r="C30" s="431">
        <f t="shared" ref="C30:N30" si="19">+C29*10*C8</f>
        <v>96.444444444444429</v>
      </c>
      <c r="D30" s="431">
        <f t="shared" si="19"/>
        <v>169.16666666666663</v>
      </c>
      <c r="E30" s="431">
        <f t="shared" si="19"/>
        <v>337.55555555555549</v>
      </c>
      <c r="F30" s="431">
        <f t="shared" si="19"/>
        <v>898.33333333333303</v>
      </c>
      <c r="G30" s="431">
        <f t="shared" si="19"/>
        <v>1060.8888888888889</v>
      </c>
      <c r="H30" s="431">
        <f t="shared" si="19"/>
        <v>1516.6666666666667</v>
      </c>
      <c r="I30" s="431">
        <f t="shared" si="19"/>
        <v>1627.4999999999998</v>
      </c>
      <c r="J30" s="431">
        <f t="shared" si="19"/>
        <v>1446.6666666666663</v>
      </c>
      <c r="K30" s="431">
        <f t="shared" si="19"/>
        <v>583.33333333333326</v>
      </c>
      <c r="L30" s="431">
        <f t="shared" si="19"/>
        <v>318.26666666666665</v>
      </c>
      <c r="M30" s="431">
        <f t="shared" si="19"/>
        <v>102.66666666666666</v>
      </c>
      <c r="N30" s="431">
        <f t="shared" si="19"/>
        <v>96.444444444444429</v>
      </c>
      <c r="O30" s="439">
        <f>SUM(C30:N30)</f>
        <v>8253.9333333333325</v>
      </c>
    </row>
    <row r="31" spans="1:15" ht="18" hidden="1" customHeight="1" thickTop="1" thickBot="1" x14ac:dyDescent="0.3">
      <c r="A31" s="916"/>
      <c r="B31" s="449" t="s">
        <v>517</v>
      </c>
      <c r="C31" s="442"/>
      <c r="D31" s="443">
        <f t="shared" ref="D31:N31" si="20">C31</f>
        <v>0</v>
      </c>
      <c r="E31" s="443">
        <f t="shared" si="20"/>
        <v>0</v>
      </c>
      <c r="F31" s="443">
        <f t="shared" si="20"/>
        <v>0</v>
      </c>
      <c r="G31" s="443">
        <f t="shared" si="20"/>
        <v>0</v>
      </c>
      <c r="H31" s="443">
        <f t="shared" si="20"/>
        <v>0</v>
      </c>
      <c r="I31" s="443">
        <f t="shared" si="20"/>
        <v>0</v>
      </c>
      <c r="J31" s="443">
        <f t="shared" si="20"/>
        <v>0</v>
      </c>
      <c r="K31" s="443">
        <f t="shared" si="20"/>
        <v>0</v>
      </c>
      <c r="L31" s="443">
        <f t="shared" si="20"/>
        <v>0</v>
      </c>
      <c r="M31" s="443">
        <f t="shared" si="20"/>
        <v>0</v>
      </c>
      <c r="N31" s="443">
        <f t="shared" si="20"/>
        <v>0</v>
      </c>
      <c r="O31" s="452">
        <f>+C31</f>
        <v>0</v>
      </c>
    </row>
    <row r="32" spans="1:15" ht="18" hidden="1" customHeight="1" thickTop="1" thickBot="1" x14ac:dyDescent="0.3">
      <c r="A32" s="917"/>
      <c r="B32" s="453" t="s">
        <v>518</v>
      </c>
      <c r="C32" s="446">
        <f t="shared" ref="C32:N32" si="21">+C31*C30</f>
        <v>0</v>
      </c>
      <c r="D32" s="446">
        <f t="shared" si="21"/>
        <v>0</v>
      </c>
      <c r="E32" s="446">
        <f t="shared" si="21"/>
        <v>0</v>
      </c>
      <c r="F32" s="446">
        <f t="shared" si="21"/>
        <v>0</v>
      </c>
      <c r="G32" s="446">
        <f t="shared" si="21"/>
        <v>0</v>
      </c>
      <c r="H32" s="446">
        <f t="shared" si="21"/>
        <v>0</v>
      </c>
      <c r="I32" s="446">
        <f t="shared" si="21"/>
        <v>0</v>
      </c>
      <c r="J32" s="446">
        <f t="shared" si="21"/>
        <v>0</v>
      </c>
      <c r="K32" s="446">
        <f t="shared" si="21"/>
        <v>0</v>
      </c>
      <c r="L32" s="446">
        <f t="shared" si="21"/>
        <v>0</v>
      </c>
      <c r="M32" s="446">
        <f t="shared" si="21"/>
        <v>0</v>
      </c>
      <c r="N32" s="446">
        <f t="shared" si="21"/>
        <v>0</v>
      </c>
      <c r="O32" s="447">
        <f>SUM(C32:N32)</f>
        <v>0</v>
      </c>
    </row>
    <row r="33" spans="1:15" ht="18" hidden="1" customHeight="1" thickBot="1" x14ac:dyDescent="0.3">
      <c r="A33" s="918" t="s">
        <v>514</v>
      </c>
      <c r="B33" s="455" t="s">
        <v>510</v>
      </c>
      <c r="C33" s="456">
        <v>0.2</v>
      </c>
      <c r="D33" s="456">
        <v>0.3</v>
      </c>
      <c r="E33" s="456">
        <v>0.4</v>
      </c>
      <c r="F33" s="456">
        <v>0.7</v>
      </c>
      <c r="G33" s="456">
        <v>0.8</v>
      </c>
      <c r="H33" s="456">
        <v>1</v>
      </c>
      <c r="I33" s="456">
        <v>0.9</v>
      </c>
      <c r="J33" s="456">
        <v>0.8</v>
      </c>
      <c r="K33" s="456">
        <v>0.5</v>
      </c>
      <c r="L33" s="456">
        <v>0.3</v>
      </c>
      <c r="M33" s="456">
        <v>0.2</v>
      </c>
      <c r="N33" s="456">
        <v>0.2</v>
      </c>
      <c r="O33" s="457" t="s">
        <v>26</v>
      </c>
    </row>
    <row r="34" spans="1:15" ht="18" hidden="1" customHeight="1" thickTop="1" thickBot="1" x14ac:dyDescent="0.3">
      <c r="A34" s="918"/>
      <c r="B34" s="449" t="s">
        <v>511</v>
      </c>
      <c r="C34" s="438">
        <f t="shared" ref="C34:N34" si="22">+C33*C7</f>
        <v>0.4</v>
      </c>
      <c r="D34" s="438">
        <f t="shared" si="22"/>
        <v>0.75</v>
      </c>
      <c r="E34" s="438">
        <f t="shared" si="22"/>
        <v>1.4000000000000001</v>
      </c>
      <c r="F34" s="438">
        <f t="shared" si="22"/>
        <v>3.8499999999999996</v>
      </c>
      <c r="G34" s="438">
        <f t="shared" si="22"/>
        <v>4.4000000000000004</v>
      </c>
      <c r="H34" s="438">
        <f t="shared" si="22"/>
        <v>6.5</v>
      </c>
      <c r="I34" s="438">
        <f t="shared" si="22"/>
        <v>6.75</v>
      </c>
      <c r="J34" s="438">
        <f t="shared" si="22"/>
        <v>6</v>
      </c>
      <c r="K34" s="438">
        <f t="shared" si="22"/>
        <v>2.5</v>
      </c>
      <c r="L34" s="438">
        <f t="shared" si="22"/>
        <v>1.32</v>
      </c>
      <c r="M34" s="438">
        <f t="shared" si="22"/>
        <v>0.44000000000000006</v>
      </c>
      <c r="N34" s="438">
        <f t="shared" si="22"/>
        <v>0.4</v>
      </c>
      <c r="O34" s="458" t="s">
        <v>26</v>
      </c>
    </row>
    <row r="35" spans="1:15" ht="18" hidden="1" customHeight="1" thickTop="1" thickBot="1" x14ac:dyDescent="0.3">
      <c r="A35" s="918"/>
      <c r="B35" s="449" t="s">
        <v>512</v>
      </c>
      <c r="C35" s="430">
        <v>0.59</v>
      </c>
      <c r="D35" s="430">
        <f t="shared" ref="D35:N35" si="23">+C35</f>
        <v>0.59</v>
      </c>
      <c r="E35" s="430">
        <f t="shared" si="23"/>
        <v>0.59</v>
      </c>
      <c r="F35" s="430">
        <f t="shared" si="23"/>
        <v>0.59</v>
      </c>
      <c r="G35" s="430">
        <f t="shared" si="23"/>
        <v>0.59</v>
      </c>
      <c r="H35" s="430">
        <f t="shared" si="23"/>
        <v>0.59</v>
      </c>
      <c r="I35" s="430">
        <f t="shared" si="23"/>
        <v>0.59</v>
      </c>
      <c r="J35" s="430">
        <f t="shared" si="23"/>
        <v>0.59</v>
      </c>
      <c r="K35" s="430">
        <f t="shared" si="23"/>
        <v>0.59</v>
      </c>
      <c r="L35" s="430">
        <f t="shared" si="23"/>
        <v>0.59</v>
      </c>
      <c r="M35" s="430">
        <f t="shared" si="23"/>
        <v>0.59</v>
      </c>
      <c r="N35" s="430">
        <f t="shared" si="23"/>
        <v>0.59</v>
      </c>
      <c r="O35" s="458" t="s">
        <v>26</v>
      </c>
    </row>
    <row r="36" spans="1:15" ht="18" hidden="1" customHeight="1" thickTop="1" thickBot="1" x14ac:dyDescent="0.3">
      <c r="A36" s="918"/>
      <c r="B36" s="449" t="s">
        <v>513</v>
      </c>
      <c r="C36" s="438">
        <f t="shared" ref="C36:N36" si="24">C34*C35</f>
        <v>0.23599999999999999</v>
      </c>
      <c r="D36" s="438">
        <f t="shared" si="24"/>
        <v>0.4425</v>
      </c>
      <c r="E36" s="438">
        <f t="shared" si="24"/>
        <v>0.82600000000000007</v>
      </c>
      <c r="F36" s="438">
        <f t="shared" si="24"/>
        <v>2.2714999999999996</v>
      </c>
      <c r="G36" s="438">
        <f t="shared" si="24"/>
        <v>2.5960000000000001</v>
      </c>
      <c r="H36" s="438">
        <f t="shared" si="24"/>
        <v>3.835</v>
      </c>
      <c r="I36" s="438">
        <f t="shared" si="24"/>
        <v>3.9824999999999999</v>
      </c>
      <c r="J36" s="438">
        <f t="shared" si="24"/>
        <v>3.54</v>
      </c>
      <c r="K36" s="438">
        <f t="shared" si="24"/>
        <v>1.4749999999999999</v>
      </c>
      <c r="L36" s="438">
        <f t="shared" si="24"/>
        <v>0.77880000000000005</v>
      </c>
      <c r="M36" s="438">
        <f t="shared" si="24"/>
        <v>0.2596</v>
      </c>
      <c r="N36" s="438">
        <f t="shared" si="24"/>
        <v>0.23599999999999999</v>
      </c>
      <c r="O36" s="458" t="s">
        <v>26</v>
      </c>
    </row>
    <row r="37" spans="1:15" ht="18" hidden="1" customHeight="1" thickTop="1" thickBot="1" x14ac:dyDescent="0.3">
      <c r="A37" s="918"/>
      <c r="B37" s="449" t="s">
        <v>515</v>
      </c>
      <c r="C37" s="440">
        <f t="shared" ref="C37:N37" si="25">C36/0.9</f>
        <v>0.26222222222222219</v>
      </c>
      <c r="D37" s="440">
        <f t="shared" si="25"/>
        <v>0.49166666666666664</v>
      </c>
      <c r="E37" s="440">
        <f t="shared" si="25"/>
        <v>0.9177777777777778</v>
      </c>
      <c r="F37" s="440">
        <f t="shared" si="25"/>
        <v>2.5238888888888886</v>
      </c>
      <c r="G37" s="440">
        <f t="shared" si="25"/>
        <v>2.8844444444444446</v>
      </c>
      <c r="H37" s="440">
        <f t="shared" si="25"/>
        <v>4.2611111111111111</v>
      </c>
      <c r="I37" s="441">
        <f t="shared" si="25"/>
        <v>4.4249999999999998</v>
      </c>
      <c r="J37" s="440">
        <f t="shared" si="25"/>
        <v>3.9333333333333331</v>
      </c>
      <c r="K37" s="440">
        <f t="shared" si="25"/>
        <v>1.6388888888888886</v>
      </c>
      <c r="L37" s="440">
        <f t="shared" si="25"/>
        <v>0.8653333333333334</v>
      </c>
      <c r="M37" s="440">
        <f t="shared" si="25"/>
        <v>0.28844444444444445</v>
      </c>
      <c r="N37" s="440">
        <f t="shared" si="25"/>
        <v>0.26222222222222219</v>
      </c>
      <c r="O37" s="458" t="s">
        <v>26</v>
      </c>
    </row>
    <row r="38" spans="1:15" ht="18" hidden="1" customHeight="1" thickTop="1" thickBot="1" x14ac:dyDescent="0.3">
      <c r="A38" s="918"/>
      <c r="B38" s="449" t="s">
        <v>516</v>
      </c>
      <c r="C38" s="431">
        <f t="shared" ref="C38:N38" si="26">+C37*10*C8</f>
        <v>81.288888888888877</v>
      </c>
      <c r="D38" s="431">
        <f t="shared" si="26"/>
        <v>142.58333333333331</v>
      </c>
      <c r="E38" s="431">
        <f t="shared" si="26"/>
        <v>284.51111111111106</v>
      </c>
      <c r="F38" s="431">
        <f t="shared" si="26"/>
        <v>757.16666666666663</v>
      </c>
      <c r="G38" s="431">
        <f t="shared" si="26"/>
        <v>894.17777777777781</v>
      </c>
      <c r="H38" s="431">
        <f t="shared" si="26"/>
        <v>1278.3333333333335</v>
      </c>
      <c r="I38" s="431">
        <f t="shared" si="26"/>
        <v>1371.75</v>
      </c>
      <c r="J38" s="431">
        <f t="shared" si="26"/>
        <v>1219.3333333333333</v>
      </c>
      <c r="K38" s="431">
        <f t="shared" si="26"/>
        <v>491.66666666666657</v>
      </c>
      <c r="L38" s="431">
        <f t="shared" si="26"/>
        <v>268.25333333333339</v>
      </c>
      <c r="M38" s="431">
        <f t="shared" si="26"/>
        <v>86.533333333333331</v>
      </c>
      <c r="N38" s="431">
        <f t="shared" si="26"/>
        <v>81.288888888888877</v>
      </c>
      <c r="O38" s="458">
        <f>SUM(C38:N38)</f>
        <v>6956.8866666666672</v>
      </c>
    </row>
    <row r="39" spans="1:15" ht="18" hidden="1" customHeight="1" thickTop="1" thickBot="1" x14ac:dyDescent="0.3">
      <c r="A39" s="918"/>
      <c r="B39" s="449" t="s">
        <v>517</v>
      </c>
      <c r="C39" s="442">
        <f>+Q12</f>
        <v>0</v>
      </c>
      <c r="D39" s="443">
        <f t="shared" ref="D39:N39" si="27">C39</f>
        <v>0</v>
      </c>
      <c r="E39" s="443">
        <f t="shared" si="27"/>
        <v>0</v>
      </c>
      <c r="F39" s="443">
        <f t="shared" si="27"/>
        <v>0</v>
      </c>
      <c r="G39" s="443">
        <f t="shared" si="27"/>
        <v>0</v>
      </c>
      <c r="H39" s="443">
        <f t="shared" si="27"/>
        <v>0</v>
      </c>
      <c r="I39" s="443">
        <f t="shared" si="27"/>
        <v>0</v>
      </c>
      <c r="J39" s="443">
        <f t="shared" si="27"/>
        <v>0</v>
      </c>
      <c r="K39" s="443">
        <f t="shared" si="27"/>
        <v>0</v>
      </c>
      <c r="L39" s="443">
        <f t="shared" si="27"/>
        <v>0</v>
      </c>
      <c r="M39" s="443">
        <f t="shared" si="27"/>
        <v>0</v>
      </c>
      <c r="N39" s="443">
        <f t="shared" si="27"/>
        <v>0</v>
      </c>
      <c r="O39" s="459">
        <f>+C39</f>
        <v>0</v>
      </c>
    </row>
    <row r="40" spans="1:15" ht="18" hidden="1" customHeight="1" thickTop="1" thickBot="1" x14ac:dyDescent="0.3">
      <c r="A40" s="918"/>
      <c r="B40" s="460" t="s">
        <v>518</v>
      </c>
      <c r="C40" s="433">
        <f t="shared" ref="C40:N40" si="28">+C39*C38</f>
        <v>0</v>
      </c>
      <c r="D40" s="433">
        <f t="shared" si="28"/>
        <v>0</v>
      </c>
      <c r="E40" s="433">
        <f t="shared" si="28"/>
        <v>0</v>
      </c>
      <c r="F40" s="433">
        <f t="shared" si="28"/>
        <v>0</v>
      </c>
      <c r="G40" s="433">
        <f t="shared" si="28"/>
        <v>0</v>
      </c>
      <c r="H40" s="433">
        <f t="shared" si="28"/>
        <v>0</v>
      </c>
      <c r="I40" s="433">
        <f t="shared" si="28"/>
        <v>0</v>
      </c>
      <c r="J40" s="433">
        <f t="shared" si="28"/>
        <v>0</v>
      </c>
      <c r="K40" s="433">
        <f t="shared" si="28"/>
        <v>0</v>
      </c>
      <c r="L40" s="433">
        <f t="shared" si="28"/>
        <v>0</v>
      </c>
      <c r="M40" s="433">
        <f t="shared" si="28"/>
        <v>0</v>
      </c>
      <c r="N40" s="433">
        <f t="shared" si="28"/>
        <v>0</v>
      </c>
      <c r="O40" s="461">
        <f>SUM(C40:N40)</f>
        <v>0</v>
      </c>
    </row>
    <row r="41" spans="1:15" ht="18" customHeight="1" thickBot="1" x14ac:dyDescent="0.3">
      <c r="A41" s="919"/>
      <c r="B41" s="920"/>
      <c r="C41" s="920"/>
      <c r="D41" s="920"/>
      <c r="E41" s="920"/>
      <c r="F41" s="920"/>
      <c r="G41" s="920"/>
      <c r="H41" s="920"/>
      <c r="I41" s="920"/>
      <c r="J41" s="920"/>
      <c r="K41" s="920"/>
      <c r="L41" s="920"/>
      <c r="M41" s="920"/>
      <c r="N41" s="920"/>
      <c r="O41" s="921"/>
    </row>
    <row r="42" spans="1:15" ht="18" customHeight="1" thickBot="1" x14ac:dyDescent="0.3">
      <c r="A42" s="922" t="s">
        <v>521</v>
      </c>
      <c r="B42" s="923"/>
      <c r="C42" s="462">
        <f>+C32+C24+C16+C40</f>
        <v>946.65044444444436</v>
      </c>
      <c r="D42" s="462">
        <f t="shared" ref="D42:O42" si="29">+D32+D24+D16+D40</f>
        <v>1106.9702777777777</v>
      </c>
      <c r="E42" s="462">
        <f t="shared" si="29"/>
        <v>1656.6382777777776</v>
      </c>
      <c r="F42" s="462">
        <f t="shared" si="29"/>
        <v>2519.311666666667</v>
      </c>
      <c r="G42" s="462">
        <f t="shared" si="29"/>
        <v>2603.2887222222221</v>
      </c>
      <c r="H42" s="462">
        <f t="shared" si="29"/>
        <v>3199.5600000000004</v>
      </c>
      <c r="I42" s="462">
        <f t="shared" si="29"/>
        <v>4257.65625</v>
      </c>
      <c r="J42" s="462">
        <f t="shared" si="29"/>
        <v>3973.8125</v>
      </c>
      <c r="K42" s="462">
        <f t="shared" si="29"/>
        <v>2461.1999999999994</v>
      </c>
      <c r="L42" s="462">
        <f t="shared" si="29"/>
        <v>2238.0512000000003</v>
      </c>
      <c r="M42" s="462">
        <f t="shared" si="29"/>
        <v>1007.7246666666667</v>
      </c>
      <c r="N42" s="462">
        <f t="shared" si="29"/>
        <v>946.65044444444436</v>
      </c>
      <c r="O42" s="462">
        <f t="shared" si="29"/>
        <v>26917.514449999999</v>
      </c>
    </row>
    <row r="43" spans="1:15" ht="18" customHeight="1" thickTop="1" thickBot="1" x14ac:dyDescent="0.3">
      <c r="A43" s="910" t="s">
        <v>522</v>
      </c>
      <c r="B43" s="911"/>
      <c r="C43" s="463">
        <f>+C31+C23+C15+C40</f>
        <v>2.93</v>
      </c>
      <c r="D43" s="463">
        <f t="shared" ref="D43:O43" si="30">+D31+D23+D15+D40</f>
        <v>2.93</v>
      </c>
      <c r="E43" s="463">
        <f t="shared" si="30"/>
        <v>2.93</v>
      </c>
      <c r="F43" s="463">
        <f t="shared" si="30"/>
        <v>2.93</v>
      </c>
      <c r="G43" s="463">
        <f t="shared" si="30"/>
        <v>2.93</v>
      </c>
      <c r="H43" s="463">
        <f t="shared" si="30"/>
        <v>2.93</v>
      </c>
      <c r="I43" s="463">
        <f t="shared" si="30"/>
        <v>2.93</v>
      </c>
      <c r="J43" s="463">
        <f t="shared" si="30"/>
        <v>2.93</v>
      </c>
      <c r="K43" s="463">
        <f t="shared" si="30"/>
        <v>2.93</v>
      </c>
      <c r="L43" s="463">
        <f t="shared" si="30"/>
        <v>2.93</v>
      </c>
      <c r="M43" s="463">
        <f t="shared" si="30"/>
        <v>2.93</v>
      </c>
      <c r="N43" s="463">
        <f t="shared" si="30"/>
        <v>2.93</v>
      </c>
      <c r="O43" s="463">
        <f t="shared" si="30"/>
        <v>2.93</v>
      </c>
    </row>
    <row r="44" spans="1:15" ht="18" customHeight="1" thickTop="1" thickBot="1" x14ac:dyDescent="0.3">
      <c r="A44" s="910" t="s">
        <v>523</v>
      </c>
      <c r="B44" s="911"/>
      <c r="C44" s="438">
        <f>C5</f>
        <v>0</v>
      </c>
      <c r="D44" s="438">
        <f t="shared" ref="D44:O44" si="31">D5</f>
        <v>0</v>
      </c>
      <c r="E44" s="438">
        <f t="shared" si="31"/>
        <v>0</v>
      </c>
      <c r="F44" s="438">
        <f t="shared" si="31"/>
        <v>0</v>
      </c>
      <c r="G44" s="438">
        <f t="shared" si="31"/>
        <v>0</v>
      </c>
      <c r="H44" s="438">
        <f t="shared" si="31"/>
        <v>0</v>
      </c>
      <c r="I44" s="438">
        <f t="shared" si="31"/>
        <v>0</v>
      </c>
      <c r="J44" s="438">
        <f t="shared" si="31"/>
        <v>0</v>
      </c>
      <c r="K44" s="438">
        <f t="shared" si="31"/>
        <v>0</v>
      </c>
      <c r="L44" s="438">
        <f t="shared" si="31"/>
        <v>0</v>
      </c>
      <c r="M44" s="438">
        <f t="shared" si="31"/>
        <v>0</v>
      </c>
      <c r="N44" s="438">
        <f t="shared" si="31"/>
        <v>0</v>
      </c>
      <c r="O44" s="438">
        <f t="shared" si="31"/>
        <v>0</v>
      </c>
    </row>
    <row r="45" spans="1:15" ht="18" customHeight="1" thickTop="1" thickBot="1" x14ac:dyDescent="0.3">
      <c r="A45" s="910" t="s">
        <v>524</v>
      </c>
      <c r="B45" s="911"/>
      <c r="C45" s="431">
        <f>C44*10*C43*0.7</f>
        <v>0</v>
      </c>
      <c r="D45" s="431">
        <f t="shared" ref="D45:O45" si="32">D44*10*D43*0.7</f>
        <v>0</v>
      </c>
      <c r="E45" s="431">
        <f t="shared" si="32"/>
        <v>0</v>
      </c>
      <c r="F45" s="431">
        <f t="shared" si="32"/>
        <v>0</v>
      </c>
      <c r="G45" s="431">
        <f t="shared" si="32"/>
        <v>0</v>
      </c>
      <c r="H45" s="431">
        <f t="shared" si="32"/>
        <v>0</v>
      </c>
      <c r="I45" s="431">
        <f t="shared" si="32"/>
        <v>0</v>
      </c>
      <c r="J45" s="431">
        <f t="shared" si="32"/>
        <v>0</v>
      </c>
      <c r="K45" s="431">
        <f t="shared" si="32"/>
        <v>0</v>
      </c>
      <c r="L45" s="431">
        <f t="shared" si="32"/>
        <v>0</v>
      </c>
      <c r="M45" s="431">
        <f t="shared" si="32"/>
        <v>0</v>
      </c>
      <c r="N45" s="431">
        <f t="shared" si="32"/>
        <v>0</v>
      </c>
      <c r="O45" s="431">
        <f t="shared" si="32"/>
        <v>0</v>
      </c>
    </row>
    <row r="46" spans="1:15" ht="18" customHeight="1" thickTop="1" thickBot="1" x14ac:dyDescent="0.3">
      <c r="A46" s="910" t="s">
        <v>525</v>
      </c>
      <c r="B46" s="911"/>
      <c r="C46" s="438">
        <f>IF(C42-C45&gt;0,C42-C45,0)</f>
        <v>946.65044444444436</v>
      </c>
      <c r="D46" s="438">
        <f t="shared" ref="D46:O46" si="33">IF(D42-D45&gt;0,D42-D45,0)</f>
        <v>1106.9702777777777</v>
      </c>
      <c r="E46" s="438">
        <f t="shared" si="33"/>
        <v>1656.6382777777776</v>
      </c>
      <c r="F46" s="438">
        <f t="shared" si="33"/>
        <v>2519.311666666667</v>
      </c>
      <c r="G46" s="438">
        <f t="shared" si="33"/>
        <v>2603.2887222222221</v>
      </c>
      <c r="H46" s="438">
        <f t="shared" si="33"/>
        <v>3199.5600000000004</v>
      </c>
      <c r="I46" s="438">
        <f t="shared" si="33"/>
        <v>4257.65625</v>
      </c>
      <c r="J46" s="438">
        <f t="shared" si="33"/>
        <v>3973.8125</v>
      </c>
      <c r="K46" s="438">
        <f t="shared" si="33"/>
        <v>2461.1999999999994</v>
      </c>
      <c r="L46" s="438">
        <f t="shared" si="33"/>
        <v>2238.0512000000003</v>
      </c>
      <c r="M46" s="438">
        <f t="shared" si="33"/>
        <v>1007.7246666666667</v>
      </c>
      <c r="N46" s="438">
        <f t="shared" si="33"/>
        <v>946.65044444444436</v>
      </c>
      <c r="O46" s="438">
        <f t="shared" si="33"/>
        <v>26917.514449999999</v>
      </c>
    </row>
    <row r="47" spans="1:15" ht="18" customHeight="1" thickTop="1" thickBot="1" x14ac:dyDescent="0.3">
      <c r="A47" s="910" t="s">
        <v>526</v>
      </c>
      <c r="B47" s="911"/>
      <c r="C47" s="912" t="s">
        <v>527</v>
      </c>
      <c r="D47" s="913"/>
      <c r="E47" s="913"/>
      <c r="F47" s="913"/>
      <c r="G47" s="913"/>
      <c r="H47" s="913"/>
      <c r="I47" s="913"/>
      <c r="J47" s="913"/>
      <c r="K47" s="913"/>
      <c r="L47" s="913"/>
      <c r="M47" s="913"/>
      <c r="N47" s="914"/>
      <c r="O47" s="438"/>
    </row>
    <row r="48" spans="1:15" ht="18" customHeight="1" thickTop="1" thickBot="1" x14ac:dyDescent="0.3">
      <c r="A48" s="910" t="s">
        <v>528</v>
      </c>
      <c r="B48" s="911"/>
      <c r="C48" s="430">
        <f>Rapport!E118</f>
        <v>15</v>
      </c>
      <c r="D48" s="438">
        <f t="shared" ref="D48:N48" si="34">+C48</f>
        <v>15</v>
      </c>
      <c r="E48" s="438">
        <f t="shared" si="34"/>
        <v>15</v>
      </c>
      <c r="F48" s="438">
        <f t="shared" si="34"/>
        <v>15</v>
      </c>
      <c r="G48" s="438">
        <f t="shared" si="34"/>
        <v>15</v>
      </c>
      <c r="H48" s="438">
        <f t="shared" si="34"/>
        <v>15</v>
      </c>
      <c r="I48" s="438">
        <f t="shared" si="34"/>
        <v>15</v>
      </c>
      <c r="J48" s="438">
        <f t="shared" si="34"/>
        <v>15</v>
      </c>
      <c r="K48" s="438">
        <f t="shared" si="34"/>
        <v>15</v>
      </c>
      <c r="L48" s="438">
        <f t="shared" si="34"/>
        <v>15</v>
      </c>
      <c r="M48" s="438">
        <f t="shared" si="34"/>
        <v>15</v>
      </c>
      <c r="N48" s="438">
        <f t="shared" si="34"/>
        <v>15</v>
      </c>
      <c r="O48" s="438"/>
    </row>
    <row r="49" spans="1:15" ht="18" customHeight="1" thickTop="1" thickBot="1" x14ac:dyDescent="0.3">
      <c r="A49" s="910" t="s">
        <v>529</v>
      </c>
      <c r="B49" s="911"/>
      <c r="C49" s="438">
        <f>(C46/C48)/C8</f>
        <v>2.0358074074074071</v>
      </c>
      <c r="D49" s="438">
        <f t="shared" ref="D49:N49" si="35">(D46/D48)/D8</f>
        <v>2.5447592592592594</v>
      </c>
      <c r="E49" s="438">
        <f t="shared" si="35"/>
        <v>3.5626629629629627</v>
      </c>
      <c r="F49" s="438">
        <f t="shared" si="35"/>
        <v>5.5984703703703707</v>
      </c>
      <c r="G49" s="438">
        <f t="shared" si="35"/>
        <v>5.5984703703703698</v>
      </c>
      <c r="H49" s="438">
        <f t="shared" si="35"/>
        <v>7.1101333333333345</v>
      </c>
      <c r="I49" s="438">
        <f t="shared" si="35"/>
        <v>9.15625</v>
      </c>
      <c r="J49" s="438">
        <f t="shared" si="35"/>
        <v>8.5458333333333343</v>
      </c>
      <c r="K49" s="438">
        <f t="shared" si="35"/>
        <v>5.4693333333333323</v>
      </c>
      <c r="L49" s="438">
        <f t="shared" si="35"/>
        <v>4.813013333333334</v>
      </c>
      <c r="M49" s="438">
        <f t="shared" si="35"/>
        <v>2.2393881481481483</v>
      </c>
      <c r="N49" s="438">
        <f t="shared" si="35"/>
        <v>2.0358074074074071</v>
      </c>
      <c r="O49" s="438"/>
    </row>
    <row r="50" spans="1:15" ht="18" customHeight="1" thickTop="1" thickBot="1" x14ac:dyDescent="0.3">
      <c r="A50" s="910" t="s">
        <v>530</v>
      </c>
      <c r="B50" s="911"/>
      <c r="C50" s="431">
        <f>+C49*C48*C8</f>
        <v>946.65044444444425</v>
      </c>
      <c r="D50" s="431">
        <f t="shared" ref="D50:N50" si="36">+D49*D48*D8</f>
        <v>1106.9702777777779</v>
      </c>
      <c r="E50" s="431">
        <f t="shared" si="36"/>
        <v>1656.6382777777778</v>
      </c>
      <c r="F50" s="431">
        <f t="shared" si="36"/>
        <v>2519.311666666667</v>
      </c>
      <c r="G50" s="431">
        <f t="shared" si="36"/>
        <v>2603.2887222222221</v>
      </c>
      <c r="H50" s="431">
        <f t="shared" si="36"/>
        <v>3199.5600000000004</v>
      </c>
      <c r="I50" s="431">
        <f t="shared" si="36"/>
        <v>4257.65625</v>
      </c>
      <c r="J50" s="431">
        <f t="shared" si="36"/>
        <v>3973.8125</v>
      </c>
      <c r="K50" s="431">
        <f t="shared" si="36"/>
        <v>2461.1999999999994</v>
      </c>
      <c r="L50" s="431">
        <f t="shared" si="36"/>
        <v>2238.0512000000003</v>
      </c>
      <c r="M50" s="431">
        <f t="shared" si="36"/>
        <v>1007.7246666666666</v>
      </c>
      <c r="N50" s="431">
        <f t="shared" si="36"/>
        <v>946.65044444444425</v>
      </c>
      <c r="O50" s="431">
        <f>SUM(C50:N50)</f>
        <v>26917.514449999999</v>
      </c>
    </row>
    <row r="51" spans="1:15" ht="18" customHeight="1" thickTop="1" thickBot="1" x14ac:dyDescent="0.3">
      <c r="A51" s="910" t="s">
        <v>531</v>
      </c>
      <c r="B51" s="911"/>
      <c r="C51" s="431">
        <f>+IF(C46&gt;0,C50-C46,0)</f>
        <v>-1.1368683772161603E-13</v>
      </c>
      <c r="D51" s="431">
        <f t="shared" ref="D51:N51" si="37">+IF(D46&gt;0,D50-D46,0)</f>
        <v>2.2737367544323206E-13</v>
      </c>
      <c r="E51" s="431">
        <f t="shared" si="37"/>
        <v>2.2737367544323206E-13</v>
      </c>
      <c r="F51" s="431">
        <f t="shared" si="37"/>
        <v>0</v>
      </c>
      <c r="G51" s="431">
        <f t="shared" si="37"/>
        <v>0</v>
      </c>
      <c r="H51" s="431">
        <f t="shared" si="37"/>
        <v>0</v>
      </c>
      <c r="I51" s="431">
        <f t="shared" si="37"/>
        <v>0</v>
      </c>
      <c r="J51" s="431">
        <f t="shared" si="37"/>
        <v>0</v>
      </c>
      <c r="K51" s="431">
        <f t="shared" si="37"/>
        <v>0</v>
      </c>
      <c r="L51" s="431">
        <f t="shared" si="37"/>
        <v>0</v>
      </c>
      <c r="M51" s="431">
        <f t="shared" si="37"/>
        <v>-1.1368683772161603E-13</v>
      </c>
      <c r="N51" s="431">
        <f t="shared" si="37"/>
        <v>-1.1368683772161603E-13</v>
      </c>
      <c r="O51" s="431">
        <f>SUM(C51:N51)</f>
        <v>1.1368683772161603E-13</v>
      </c>
    </row>
    <row r="52" spans="1:15" ht="18" customHeight="1" thickTop="1" x14ac:dyDescent="0.25"/>
  </sheetData>
  <mergeCells count="21">
    <mergeCell ref="R11:R13"/>
    <mergeCell ref="D2:J2"/>
    <mergeCell ref="A4:B4"/>
    <mergeCell ref="A7:B7"/>
    <mergeCell ref="A8:B8"/>
    <mergeCell ref="A9:A16"/>
    <mergeCell ref="C47:N47"/>
    <mergeCell ref="A48:B48"/>
    <mergeCell ref="A17:A24"/>
    <mergeCell ref="A25:A32"/>
    <mergeCell ref="A33:A40"/>
    <mergeCell ref="A41:O41"/>
    <mergeCell ref="A42:B42"/>
    <mergeCell ref="A43:B43"/>
    <mergeCell ref="A49:B49"/>
    <mergeCell ref="A50:B50"/>
    <mergeCell ref="A51:B51"/>
    <mergeCell ref="A44:B44"/>
    <mergeCell ref="A45:B45"/>
    <mergeCell ref="A46:B46"/>
    <mergeCell ref="A47:B47"/>
  </mergeCells>
  <conditionalFormatting sqref="B2">
    <cfRule type="cellIs" dxfId="0" priority="1" operator="equal">
      <formula>1</formula>
    </cfRule>
  </conditionalFormatting>
  <printOptions horizontalCentered="1"/>
  <pageMargins left="0.23622047244094491" right="0.23622047244094491" top="0.39370078740157483" bottom="0" header="0.31496062992125984" footer="0.31496062992125984"/>
  <pageSetup paperSize="9" scale="98"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21</vt:i4>
      </vt:variant>
    </vt:vector>
  </HeadingPairs>
  <TitlesOfParts>
    <vt:vector size="29" baseType="lpstr">
      <vt:lpstr>Diamétre Interieur</vt:lpstr>
      <vt:lpstr>Parametre</vt:lpstr>
      <vt:lpstr>Calcul Hyd</vt:lpstr>
      <vt:lpstr>Rapport</vt:lpstr>
      <vt:lpstr>Engagement</vt:lpstr>
      <vt:lpstr>Declaration 1</vt:lpstr>
      <vt:lpstr>Declaration 2</vt:lpstr>
      <vt:lpstr>Besoin</vt:lpstr>
      <vt:lpstr>Client</vt:lpstr>
      <vt:lpstr>forage_111</vt:lpstr>
      <vt:lpstr>forage_112</vt:lpstr>
      <vt:lpstr>forage_222</vt:lpstr>
      <vt:lpstr>forage2</vt:lpstr>
      <vt:lpstr>marai1</vt:lpstr>
      <vt:lpstr>marai2</vt:lpstr>
      <vt:lpstr>marai3</vt:lpstr>
      <vt:lpstr>marai4</vt:lpstr>
      <vt:lpstr>marai5</vt:lpstr>
      <vt:lpstr>olivier1</vt:lpstr>
      <vt:lpstr>olivier2</vt:lpstr>
      <vt:lpstr>olivier3</vt:lpstr>
      <vt:lpstr>Besoin!Print_Area</vt:lpstr>
      <vt:lpstr>'Declaration 1'!Print_Area</vt:lpstr>
      <vt:lpstr>'Declaration 2'!Print_Area</vt:lpstr>
      <vt:lpstr>Engagement!Print_Area</vt:lpstr>
      <vt:lpstr>Rapport!Print_Area</vt:lpstr>
      <vt:lpstr>secteurs_01</vt:lpstr>
      <vt:lpstr>secteurs_1</vt:lpstr>
      <vt:lpstr>secteurs1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Anas Asimi</dc:creator>
  <cp:lastModifiedBy>anas</cp:lastModifiedBy>
  <cp:lastPrinted>2023-06-19T10:52:59Z</cp:lastPrinted>
  <dcterms:created xsi:type="dcterms:W3CDTF">2021-10-12T11:40:40Z</dcterms:created>
  <dcterms:modified xsi:type="dcterms:W3CDTF">2023-06-19T10:54:00Z</dcterms:modified>
</cp:coreProperties>
</file>